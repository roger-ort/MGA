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net\Desktop\Mini Gradient Array Time-Series\Aqueous Analyses\"/>
    </mc:Choice>
  </mc:AlternateContent>
  <xr:revisionPtr revIDLastSave="0" documentId="13_ncr:1_{B9E6067D-32E1-425D-BE65-1B7C5551F2F4}" xr6:coauthVersionLast="47" xr6:coauthVersionMax="47" xr10:uidLastSave="{00000000-0000-0000-0000-000000000000}"/>
  <bookViews>
    <workbookView xWindow="-1440" yWindow="855" windowWidth="20250" windowHeight="16815" activeTab="1" xr2:uid="{64DEEEAC-26A5-424B-973D-2AE3816ED712}"/>
  </bookViews>
  <sheets>
    <sheet name="IEE" sheetId="4" r:id="rId1"/>
    <sheet name="LIME" sheetId="5" r:id="rId2"/>
    <sheet name="ZnAc (Sulfide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2" l="1"/>
  <c r="K13" i="2"/>
  <c r="M13" i="2" s="1"/>
  <c r="N13" i="2" s="1"/>
  <c r="O13" i="2" s="1"/>
  <c r="K14" i="2"/>
  <c r="M14" i="2" s="1"/>
  <c r="N14" i="2" s="1"/>
  <c r="O14" i="2" s="1"/>
  <c r="K15" i="2"/>
  <c r="M15" i="2" s="1"/>
  <c r="N15" i="2" s="1"/>
  <c r="O15" i="2" s="1"/>
  <c r="K16" i="2"/>
  <c r="M16" i="2" s="1"/>
  <c r="N16" i="2" s="1"/>
  <c r="O16" i="2" s="1"/>
  <c r="K17" i="2"/>
  <c r="M17" i="2" s="1"/>
  <c r="N17" i="2" s="1"/>
  <c r="O17" i="2" s="1"/>
  <c r="P8" i="2"/>
  <c r="P2" i="2"/>
  <c r="O2" i="2"/>
  <c r="H9" i="4"/>
  <c r="H8" i="4"/>
  <c r="F17" i="2"/>
  <c r="G17" i="2"/>
  <c r="F16" i="2"/>
  <c r="G16" i="2"/>
  <c r="F15" i="2"/>
  <c r="G15" i="2" s="1"/>
  <c r="F14" i="2"/>
  <c r="G14" i="2"/>
  <c r="F13" i="2"/>
  <c r="G13" i="2"/>
  <c r="J3" i="5"/>
  <c r="J4" i="5"/>
  <c r="J5" i="5"/>
  <c r="J6" i="5"/>
  <c r="J7" i="5"/>
  <c r="J8" i="5"/>
  <c r="J9" i="5"/>
  <c r="J10" i="5"/>
  <c r="J2" i="5"/>
  <c r="K12" i="2"/>
  <c r="M12" i="2" s="1"/>
  <c r="N12" i="2" s="1"/>
  <c r="O12" i="2" s="1"/>
  <c r="F12" i="2"/>
  <c r="G12" i="2" s="1"/>
  <c r="K11" i="2"/>
  <c r="M11" i="2" s="1"/>
  <c r="N11" i="2" s="1"/>
  <c r="F11" i="2"/>
  <c r="G11" i="2" s="1"/>
  <c r="K10" i="2"/>
  <c r="M10" i="2" s="1"/>
  <c r="N10" i="2" s="1"/>
  <c r="F10" i="2"/>
  <c r="G10" i="2" s="1"/>
  <c r="K9" i="2"/>
  <c r="M9" i="2" s="1"/>
  <c r="N9" i="2" s="1"/>
  <c r="F9" i="2"/>
  <c r="G9" i="2" s="1"/>
  <c r="K8" i="2"/>
  <c r="M8" i="2" s="1"/>
  <c r="N8" i="2" s="1"/>
  <c r="F8" i="2"/>
  <c r="G8" i="2" s="1"/>
  <c r="K7" i="2"/>
  <c r="M7" i="2" s="1"/>
  <c r="N7" i="2" s="1"/>
  <c r="F7" i="2"/>
  <c r="G7" i="2" s="1"/>
  <c r="K6" i="2"/>
  <c r="M6" i="2" s="1"/>
  <c r="N6" i="2" s="1"/>
  <c r="F6" i="2"/>
  <c r="G6" i="2" s="1"/>
  <c r="K5" i="2"/>
  <c r="M5" i="2" s="1"/>
  <c r="N5" i="2" s="1"/>
  <c r="F5" i="2"/>
  <c r="G5" i="2" s="1"/>
  <c r="H4" i="2"/>
  <c r="K4" i="2" s="1"/>
  <c r="M4" i="2" s="1"/>
  <c r="N4" i="2" s="1"/>
  <c r="F4" i="2"/>
  <c r="G4" i="2" s="1"/>
  <c r="K3" i="2"/>
  <c r="M3" i="2" s="1"/>
  <c r="N3" i="2" s="1"/>
  <c r="F3" i="2"/>
  <c r="G3" i="2" s="1"/>
  <c r="K2" i="2"/>
  <c r="M2" i="2" s="1"/>
  <c r="N2" i="2" s="1"/>
  <c r="F2" i="2"/>
  <c r="G2" i="2" s="1"/>
  <c r="O11" i="2" l="1"/>
  <c r="O3" i="2"/>
  <c r="O7" i="2"/>
  <c r="O8" i="2"/>
  <c r="O9" i="2"/>
  <c r="O4" i="2"/>
  <c r="O10" i="2"/>
  <c r="O5" i="2"/>
  <c r="O6" i="2"/>
</calcChain>
</file>

<file path=xl/sharedStrings.xml><?xml version="1.0" encoding="utf-8"?>
<sst xmlns="http://schemas.openxmlformats.org/spreadsheetml/2006/main" count="232" uniqueCount="103">
  <si>
    <t>Sample Name</t>
  </si>
  <si>
    <t>Requested Analysis</t>
  </si>
  <si>
    <t>NewName</t>
  </si>
  <si>
    <t>Dissolved Inorganic Carbon (DIC)</t>
  </si>
  <si>
    <t>GL25-0814-DIC1</t>
  </si>
  <si>
    <t>GL25-0814-DIC2</t>
  </si>
  <si>
    <t>GL25-0814-DIC3</t>
  </si>
  <si>
    <t>GL25-1015-DIC3</t>
  </si>
  <si>
    <t>GL25-1015-DIC1</t>
  </si>
  <si>
    <t>GL25-1015-DIC2</t>
  </si>
  <si>
    <t>GL25-1112-DIC3</t>
  </si>
  <si>
    <t>GL25-1112-DIC1</t>
  </si>
  <si>
    <t>GL25-1112-DIC2</t>
  </si>
  <si>
    <t>filt</t>
  </si>
  <si>
    <t>cation</t>
  </si>
  <si>
    <t>Treatment</t>
  </si>
  <si>
    <t>45mL sample into 5mL nitric acid</t>
  </si>
  <si>
    <t>0.2um filtered</t>
  </si>
  <si>
    <t>Trip</t>
  </si>
  <si>
    <t>Aug</t>
  </si>
  <si>
    <t>Oct</t>
  </si>
  <si>
    <t>Nov</t>
  </si>
  <si>
    <t>Ammonium</t>
  </si>
  <si>
    <t>Cations</t>
  </si>
  <si>
    <t>Anions</t>
  </si>
  <si>
    <t>Dissolved Organic Carbon (DOC)</t>
  </si>
  <si>
    <t>Desired Data</t>
  </si>
  <si>
    <t>IC</t>
  </si>
  <si>
    <t>ICP-AES</t>
  </si>
  <si>
    <t>IEE (ekaterina)</t>
  </si>
  <si>
    <t>0.2um filtered, Phosphoric acid</t>
  </si>
  <si>
    <t>Sample</t>
  </si>
  <si>
    <t>Date Collected</t>
  </si>
  <si>
    <t>mL ZnAc solution 1M</t>
  </si>
  <si>
    <t>Preweight</t>
  </si>
  <si>
    <t>Postweight</t>
  </si>
  <si>
    <t>total mL</t>
  </si>
  <si>
    <t>sample mL (sample - 1) / total</t>
  </si>
  <si>
    <t>mg/L sulfide from HACH from diluted</t>
  </si>
  <si>
    <t>Vol Used HACH (mL)</t>
  </si>
  <si>
    <t>dilution factor</t>
  </si>
  <si>
    <t>mg/L undiluted (1ml sample backcalculated)</t>
  </si>
  <si>
    <t>g/mol sulfide</t>
  </si>
  <si>
    <t>g/L</t>
  </si>
  <si>
    <t>M sulfide</t>
  </si>
  <si>
    <t>M sulfide sdjusted for tube</t>
  </si>
  <si>
    <t>GL25-1015-AN1</t>
  </si>
  <si>
    <t>GL25-1015-AN2</t>
  </si>
  <si>
    <t>GL25-1112-AN1</t>
  </si>
  <si>
    <t>GL25-1112-AN2</t>
  </si>
  <si>
    <t>GL25-0814-AN1</t>
  </si>
  <si>
    <t>GL25-1015-CA1</t>
  </si>
  <si>
    <t>GL25-1112-CA1</t>
  </si>
  <si>
    <t>GL25-1112-CA2</t>
  </si>
  <si>
    <t>GL25-0814-CA1</t>
  </si>
  <si>
    <t>GL25-1015-CA2</t>
  </si>
  <si>
    <t>IRMS</t>
  </si>
  <si>
    <t>Weight before</t>
  </si>
  <si>
    <t>Weight After</t>
  </si>
  <si>
    <t>Sample mL added</t>
  </si>
  <si>
    <t>GL25-1015-DOC1</t>
  </si>
  <si>
    <t>GL25-1015-DOC2</t>
  </si>
  <si>
    <t>GL25-1112-DOC1</t>
  </si>
  <si>
    <t>GL25-1112-DOC2</t>
  </si>
  <si>
    <t>GL25-0814-DOC1</t>
  </si>
  <si>
    <t>GL25-0814-DOC2</t>
  </si>
  <si>
    <t>GL25-1015-AM1</t>
  </si>
  <si>
    <t>GL25-1015-AM2</t>
  </si>
  <si>
    <t>GL25-1112-AM1</t>
  </si>
  <si>
    <t>GL25-1112-AM2</t>
  </si>
  <si>
    <t>GL25-0814-AM1</t>
  </si>
  <si>
    <t>Analyte</t>
  </si>
  <si>
    <t>Send to</t>
  </si>
  <si>
    <t>0.2 um filtered, 90ul 37% HCl, filled with sample up to 45ml</t>
  </si>
  <si>
    <t>0.2um filtered, no other treatment</t>
  </si>
  <si>
    <t>ShortID</t>
  </si>
  <si>
    <t>RCO-1</t>
  </si>
  <si>
    <t>RCO-2</t>
  </si>
  <si>
    <t>RCO-3</t>
  </si>
  <si>
    <t>RCO-4</t>
  </si>
  <si>
    <t>RCO-5</t>
  </si>
  <si>
    <t>RCO-6</t>
  </si>
  <si>
    <t>RCO-7</t>
  </si>
  <si>
    <t>RCO-8</t>
  </si>
  <si>
    <t>RCO-9</t>
  </si>
  <si>
    <t>RCO-10</t>
  </si>
  <si>
    <t>RCO-11</t>
  </si>
  <si>
    <t>RCO-12</t>
  </si>
  <si>
    <t>RCO-13</t>
  </si>
  <si>
    <t>RCO-14</t>
  </si>
  <si>
    <t>RCO-15</t>
  </si>
  <si>
    <t>RCO-16</t>
  </si>
  <si>
    <t>RCO-17</t>
  </si>
  <si>
    <t>RCO-18</t>
  </si>
  <si>
    <t>RCO-19</t>
  </si>
  <si>
    <t>preweight</t>
  </si>
  <si>
    <t>postweight</t>
  </si>
  <si>
    <t>mL Sample</t>
  </si>
  <si>
    <t>analyzed</t>
  </si>
  <si>
    <t>not analyzed</t>
  </si>
  <si>
    <t>technical malfunction</t>
  </si>
  <si>
    <t>LIME_ICPAES_465R_Roger Ort_jlm80</t>
  </si>
  <si>
    <t>LIME_ICPAES_472R_Roger Ort_jlm80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</si>
</sst>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C090-9117-46FE-9335-83349BDD827A}">
  <dimension ref="A1:J12"/>
  <sheetViews>
    <sheetView workbookViewId="0">
      <selection activeCell="J3" sqref="J3:J12"/>
    </sheetView>
  </sheetViews>
  <sheetFormatPr defaultRowHeight="15" x14ac:dyDescent="0.25"/>
  <cols>
    <col min="1" max="1" width="15.5703125" bestFit="1" customWidth="1"/>
    <col min="2" max="2" width="30.28515625" bestFit="1" customWidth="1"/>
    <col min="3" max="3" width="55.28515625" customWidth="1"/>
    <col min="4" max="4" width="13.85546875" bestFit="1" customWidth="1"/>
    <col min="6" max="6" width="10" bestFit="1" customWidth="1"/>
  </cols>
  <sheetData>
    <row r="1" spans="1:10" s="1" customFormat="1" x14ac:dyDescent="0.25">
      <c r="A1" s="1" t="s">
        <v>0</v>
      </c>
      <c r="B1" s="1" t="s">
        <v>71</v>
      </c>
      <c r="C1" s="1" t="s">
        <v>15</v>
      </c>
      <c r="D1" s="1" t="s">
        <v>72</v>
      </c>
      <c r="F1" s="1" t="s">
        <v>95</v>
      </c>
      <c r="G1" s="1" t="s">
        <v>96</v>
      </c>
      <c r="H1" s="1" t="s">
        <v>97</v>
      </c>
      <c r="J1" s="1" t="s">
        <v>98</v>
      </c>
    </row>
    <row r="2" spans="1:10" x14ac:dyDescent="0.25">
      <c r="A2" t="s">
        <v>60</v>
      </c>
      <c r="B2" t="s">
        <v>25</v>
      </c>
      <c r="C2" t="s">
        <v>74</v>
      </c>
      <c r="D2" t="s">
        <v>29</v>
      </c>
      <c r="J2" t="s">
        <v>99</v>
      </c>
    </row>
    <row r="3" spans="1:10" x14ac:dyDescent="0.25">
      <c r="A3" t="s">
        <v>61</v>
      </c>
      <c r="B3" t="s">
        <v>25</v>
      </c>
      <c r="C3" t="s">
        <v>74</v>
      </c>
      <c r="D3" t="s">
        <v>29</v>
      </c>
      <c r="J3" t="s">
        <v>99</v>
      </c>
    </row>
    <row r="4" spans="1:10" x14ac:dyDescent="0.25">
      <c r="A4" t="s">
        <v>62</v>
      </c>
      <c r="B4" t="s">
        <v>25</v>
      </c>
      <c r="C4" t="s">
        <v>74</v>
      </c>
      <c r="D4" t="s">
        <v>29</v>
      </c>
      <c r="J4" t="s">
        <v>99</v>
      </c>
    </row>
    <row r="5" spans="1:10" x14ac:dyDescent="0.25">
      <c r="A5" t="s">
        <v>63</v>
      </c>
      <c r="B5" t="s">
        <v>25</v>
      </c>
      <c r="C5" t="s">
        <v>74</v>
      </c>
      <c r="D5" t="s">
        <v>29</v>
      </c>
      <c r="J5" t="s">
        <v>99</v>
      </c>
    </row>
    <row r="6" spans="1:10" x14ac:dyDescent="0.25">
      <c r="A6" t="s">
        <v>64</v>
      </c>
      <c r="B6" t="s">
        <v>25</v>
      </c>
      <c r="C6" t="s">
        <v>74</v>
      </c>
      <c r="D6" t="s">
        <v>29</v>
      </c>
      <c r="J6" t="s">
        <v>99</v>
      </c>
    </row>
    <row r="7" spans="1:10" x14ac:dyDescent="0.25">
      <c r="A7" t="s">
        <v>65</v>
      </c>
      <c r="B7" t="s">
        <v>25</v>
      </c>
      <c r="C7" t="s">
        <v>74</v>
      </c>
      <c r="D7" t="s">
        <v>29</v>
      </c>
      <c r="J7" t="s">
        <v>99</v>
      </c>
    </row>
    <row r="8" spans="1:10" x14ac:dyDescent="0.25">
      <c r="A8" t="s">
        <v>66</v>
      </c>
      <c r="B8" t="s">
        <v>22</v>
      </c>
      <c r="C8" t="s">
        <v>73</v>
      </c>
      <c r="D8" t="s">
        <v>29</v>
      </c>
      <c r="F8">
        <v>14.459</v>
      </c>
      <c r="G8">
        <v>58.808999999999997</v>
      </c>
      <c r="H8">
        <f>G8-F8</f>
        <v>44.349999999999994</v>
      </c>
      <c r="J8" t="s">
        <v>99</v>
      </c>
    </row>
    <row r="9" spans="1:10" x14ac:dyDescent="0.25">
      <c r="A9" t="s">
        <v>67</v>
      </c>
      <c r="B9" t="s">
        <v>22</v>
      </c>
      <c r="C9" t="s">
        <v>73</v>
      </c>
      <c r="D9" t="s">
        <v>29</v>
      </c>
      <c r="F9">
        <v>12.898</v>
      </c>
      <c r="G9">
        <v>56.832000000000001</v>
      </c>
      <c r="H9">
        <f>G9-F9</f>
        <v>43.933999999999997</v>
      </c>
      <c r="J9" t="s">
        <v>99</v>
      </c>
    </row>
    <row r="10" spans="1:10" x14ac:dyDescent="0.25">
      <c r="A10" t="s">
        <v>68</v>
      </c>
      <c r="B10" t="s">
        <v>22</v>
      </c>
      <c r="C10" t="s">
        <v>73</v>
      </c>
      <c r="D10" t="s">
        <v>29</v>
      </c>
      <c r="J10" t="s">
        <v>99</v>
      </c>
    </row>
    <row r="11" spans="1:10" x14ac:dyDescent="0.25">
      <c r="A11" t="s">
        <v>69</v>
      </c>
      <c r="B11" t="s">
        <v>22</v>
      </c>
      <c r="C11" t="s">
        <v>73</v>
      </c>
      <c r="D11" t="s">
        <v>29</v>
      </c>
      <c r="J11" t="s">
        <v>99</v>
      </c>
    </row>
    <row r="12" spans="1:10" x14ac:dyDescent="0.25">
      <c r="A12" t="s">
        <v>70</v>
      </c>
      <c r="B12" t="s">
        <v>22</v>
      </c>
      <c r="C12" t="s">
        <v>73</v>
      </c>
      <c r="D12" t="s">
        <v>29</v>
      </c>
      <c r="J1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335E-F315-44DB-A217-F1D59A1CCEE2}">
  <dimension ref="A1:L20"/>
  <sheetViews>
    <sheetView tabSelected="1" topLeftCell="E1" workbookViewId="0">
      <selection activeCell="G19" sqref="G19"/>
    </sheetView>
  </sheetViews>
  <sheetFormatPr defaultRowHeight="15" x14ac:dyDescent="0.25"/>
  <cols>
    <col min="1" max="1" width="13.5703125" bestFit="1" customWidth="1"/>
    <col min="2" max="2" width="4.42578125" bestFit="1" customWidth="1"/>
    <col min="3" max="3" width="14.7109375" bestFit="1" customWidth="1"/>
    <col min="4" max="4" width="14.7109375" customWidth="1"/>
    <col min="5" max="5" width="30.85546875" bestFit="1" customWidth="1"/>
    <col min="6" max="6" width="19" bestFit="1" customWidth="1"/>
    <col min="7" max="7" width="30.42578125" bestFit="1" customWidth="1"/>
    <col min="8" max="8" width="15.42578125" customWidth="1"/>
    <col min="9" max="9" width="14.140625" customWidth="1"/>
    <col min="10" max="10" width="19.42578125" customWidth="1"/>
  </cols>
  <sheetData>
    <row r="1" spans="1:12" x14ac:dyDescent="0.25">
      <c r="A1" s="1" t="s">
        <v>0</v>
      </c>
      <c r="B1" s="1" t="s">
        <v>18</v>
      </c>
      <c r="C1" s="1" t="s">
        <v>2</v>
      </c>
      <c r="D1" s="1" t="s">
        <v>75</v>
      </c>
      <c r="E1" s="1" t="s">
        <v>26</v>
      </c>
      <c r="F1" s="1" t="s">
        <v>1</v>
      </c>
      <c r="G1" s="1" t="s">
        <v>15</v>
      </c>
      <c r="H1" s="1" t="s">
        <v>57</v>
      </c>
      <c r="I1" s="1" t="s">
        <v>58</v>
      </c>
      <c r="J1" s="1" t="s">
        <v>59</v>
      </c>
      <c r="K1" s="1"/>
      <c r="L1" s="1" t="s">
        <v>98</v>
      </c>
    </row>
    <row r="2" spans="1:12" x14ac:dyDescent="0.25">
      <c r="A2">
        <v>5</v>
      </c>
      <c r="B2" t="s">
        <v>19</v>
      </c>
      <c r="C2" t="s">
        <v>4</v>
      </c>
      <c r="D2" t="s">
        <v>76</v>
      </c>
      <c r="E2" t="s">
        <v>3</v>
      </c>
      <c r="F2" t="s">
        <v>56</v>
      </c>
      <c r="G2" t="s">
        <v>30</v>
      </c>
      <c r="H2">
        <v>13.123860000000001</v>
      </c>
      <c r="I2">
        <v>14.616</v>
      </c>
      <c r="J2">
        <f>I2-H2</f>
        <v>1.4921399999999991</v>
      </c>
      <c r="L2" t="s">
        <v>100</v>
      </c>
    </row>
    <row r="3" spans="1:12" x14ac:dyDescent="0.25">
      <c r="A3">
        <v>6</v>
      </c>
      <c r="B3" t="s">
        <v>19</v>
      </c>
      <c r="C3" t="s">
        <v>5</v>
      </c>
      <c r="D3" t="s">
        <v>77</v>
      </c>
      <c r="E3" t="s">
        <v>3</v>
      </c>
      <c r="F3" t="s">
        <v>56</v>
      </c>
      <c r="G3" t="s">
        <v>30</v>
      </c>
      <c r="H3">
        <v>13.363289999999999</v>
      </c>
      <c r="I3">
        <v>14.712</v>
      </c>
      <c r="J3">
        <f t="shared" ref="J3:J10" si="0">I3-H3</f>
        <v>1.3487100000000005</v>
      </c>
      <c r="L3" t="s">
        <v>100</v>
      </c>
    </row>
    <row r="4" spans="1:12" x14ac:dyDescent="0.25">
      <c r="A4">
        <v>7</v>
      </c>
      <c r="B4" t="s">
        <v>19</v>
      </c>
      <c r="C4" t="s">
        <v>6</v>
      </c>
      <c r="D4" t="s">
        <v>78</v>
      </c>
      <c r="E4" t="s">
        <v>3</v>
      </c>
      <c r="F4" t="s">
        <v>56</v>
      </c>
      <c r="G4" t="s">
        <v>30</v>
      </c>
      <c r="H4">
        <v>13.16235</v>
      </c>
      <c r="I4">
        <v>14.462999999999999</v>
      </c>
      <c r="J4">
        <f t="shared" si="0"/>
        <v>1.3006499999999992</v>
      </c>
      <c r="L4" t="s">
        <v>100</v>
      </c>
    </row>
    <row r="5" spans="1:12" x14ac:dyDescent="0.25">
      <c r="A5">
        <v>8</v>
      </c>
      <c r="B5" t="s">
        <v>20</v>
      </c>
      <c r="C5" t="s">
        <v>8</v>
      </c>
      <c r="D5" t="s">
        <v>79</v>
      </c>
      <c r="E5" t="s">
        <v>3</v>
      </c>
      <c r="F5" t="s">
        <v>56</v>
      </c>
      <c r="G5" t="s">
        <v>30</v>
      </c>
      <c r="H5">
        <v>13.181190000000001</v>
      </c>
      <c r="I5">
        <v>15.701000000000001</v>
      </c>
      <c r="J5">
        <f t="shared" si="0"/>
        <v>2.5198099999999997</v>
      </c>
      <c r="L5" t="s">
        <v>100</v>
      </c>
    </row>
    <row r="6" spans="1:12" x14ac:dyDescent="0.25">
      <c r="A6">
        <v>9</v>
      </c>
      <c r="B6" t="s">
        <v>20</v>
      </c>
      <c r="C6" t="s">
        <v>9</v>
      </c>
      <c r="D6" t="s">
        <v>80</v>
      </c>
      <c r="E6" t="s">
        <v>3</v>
      </c>
      <c r="F6" t="s">
        <v>56</v>
      </c>
      <c r="G6" t="s">
        <v>30</v>
      </c>
      <c r="H6">
        <v>12.67563</v>
      </c>
      <c r="I6">
        <v>15.164999999999999</v>
      </c>
      <c r="J6">
        <f t="shared" si="0"/>
        <v>2.4893699999999992</v>
      </c>
      <c r="L6" t="s">
        <v>100</v>
      </c>
    </row>
    <row r="7" spans="1:12" x14ac:dyDescent="0.25">
      <c r="A7">
        <v>10</v>
      </c>
      <c r="B7" t="s">
        <v>20</v>
      </c>
      <c r="C7" t="s">
        <v>7</v>
      </c>
      <c r="D7" t="s">
        <v>81</v>
      </c>
      <c r="E7" t="s">
        <v>3</v>
      </c>
      <c r="F7" t="s">
        <v>56</v>
      </c>
      <c r="G7" t="s">
        <v>30</v>
      </c>
      <c r="H7">
        <v>13.06809</v>
      </c>
      <c r="I7">
        <v>15.407999999999999</v>
      </c>
      <c r="J7">
        <f t="shared" si="0"/>
        <v>2.3399099999999997</v>
      </c>
      <c r="L7" t="s">
        <v>100</v>
      </c>
    </row>
    <row r="8" spans="1:12" x14ac:dyDescent="0.25">
      <c r="A8">
        <v>1</v>
      </c>
      <c r="B8" t="s">
        <v>21</v>
      </c>
      <c r="C8" t="s">
        <v>11</v>
      </c>
      <c r="D8" t="s">
        <v>82</v>
      </c>
      <c r="E8" t="s">
        <v>3</v>
      </c>
      <c r="F8" t="s">
        <v>56</v>
      </c>
      <c r="G8" t="s">
        <v>30</v>
      </c>
      <c r="H8">
        <v>13.099</v>
      </c>
      <c r="I8">
        <v>14.465999999999999</v>
      </c>
      <c r="J8">
        <f t="shared" si="0"/>
        <v>1.3669999999999991</v>
      </c>
      <c r="L8" t="s">
        <v>100</v>
      </c>
    </row>
    <row r="9" spans="1:12" x14ac:dyDescent="0.25">
      <c r="A9">
        <v>2</v>
      </c>
      <c r="B9" t="s">
        <v>21</v>
      </c>
      <c r="C9" t="s">
        <v>12</v>
      </c>
      <c r="D9" t="s">
        <v>83</v>
      </c>
      <c r="E9" t="s">
        <v>3</v>
      </c>
      <c r="F9" t="s">
        <v>56</v>
      </c>
      <c r="G9" t="s">
        <v>30</v>
      </c>
      <c r="H9">
        <v>13.13237</v>
      </c>
      <c r="I9">
        <v>14.178000000000001</v>
      </c>
      <c r="J9">
        <f t="shared" si="0"/>
        <v>1.0456300000000009</v>
      </c>
      <c r="L9" t="s">
        <v>100</v>
      </c>
    </row>
    <row r="10" spans="1:12" x14ac:dyDescent="0.25">
      <c r="A10">
        <v>3</v>
      </c>
      <c r="B10" t="s">
        <v>21</v>
      </c>
      <c r="C10" t="s">
        <v>10</v>
      </c>
      <c r="D10" t="s">
        <v>84</v>
      </c>
      <c r="E10" t="s">
        <v>3</v>
      </c>
      <c r="F10" t="s">
        <v>56</v>
      </c>
      <c r="G10" t="s">
        <v>30</v>
      </c>
      <c r="H10">
        <v>13.090389999999999</v>
      </c>
      <c r="I10">
        <v>14.029</v>
      </c>
      <c r="J10">
        <f t="shared" si="0"/>
        <v>0.93861000000000061</v>
      </c>
      <c r="L10" t="s">
        <v>100</v>
      </c>
    </row>
    <row r="11" spans="1:12" x14ac:dyDescent="0.25">
      <c r="A11" t="s">
        <v>13</v>
      </c>
      <c r="B11" t="s">
        <v>20</v>
      </c>
      <c r="C11" t="s">
        <v>46</v>
      </c>
      <c r="D11" t="s">
        <v>85</v>
      </c>
      <c r="E11" t="s">
        <v>24</v>
      </c>
      <c r="F11" t="s">
        <v>27</v>
      </c>
      <c r="G11" t="s">
        <v>17</v>
      </c>
      <c r="L11" t="s">
        <v>102</v>
      </c>
    </row>
    <row r="12" spans="1:12" x14ac:dyDescent="0.25">
      <c r="A12" t="s">
        <v>13</v>
      </c>
      <c r="B12" t="s">
        <v>20</v>
      </c>
      <c r="C12" t="s">
        <v>47</v>
      </c>
      <c r="D12" t="s">
        <v>86</v>
      </c>
      <c r="E12" t="s">
        <v>24</v>
      </c>
      <c r="F12" t="s">
        <v>27</v>
      </c>
      <c r="G12" t="s">
        <v>17</v>
      </c>
      <c r="L12" t="s">
        <v>102</v>
      </c>
    </row>
    <row r="13" spans="1:12" x14ac:dyDescent="0.25">
      <c r="A13" t="s">
        <v>13</v>
      </c>
      <c r="B13" t="s">
        <v>21</v>
      </c>
      <c r="C13" t="s">
        <v>48</v>
      </c>
      <c r="D13" t="s">
        <v>87</v>
      </c>
      <c r="E13" t="s">
        <v>24</v>
      </c>
      <c r="F13" t="s">
        <v>27</v>
      </c>
      <c r="G13" t="s">
        <v>17</v>
      </c>
      <c r="L13" t="s">
        <v>102</v>
      </c>
    </row>
    <row r="14" spans="1:12" x14ac:dyDescent="0.25">
      <c r="A14" t="s">
        <v>13</v>
      </c>
      <c r="B14" t="s">
        <v>21</v>
      </c>
      <c r="C14" t="s">
        <v>49</v>
      </c>
      <c r="D14" t="s">
        <v>88</v>
      </c>
      <c r="E14" t="s">
        <v>24</v>
      </c>
      <c r="F14" t="s">
        <v>27</v>
      </c>
      <c r="G14" t="s">
        <v>17</v>
      </c>
      <c r="L14" t="s">
        <v>102</v>
      </c>
    </row>
    <row r="15" spans="1:12" x14ac:dyDescent="0.25">
      <c r="A15" t="s">
        <v>13</v>
      </c>
      <c r="B15" t="s">
        <v>19</v>
      </c>
      <c r="C15" t="s">
        <v>50</v>
      </c>
      <c r="D15" t="s">
        <v>89</v>
      </c>
      <c r="E15" t="s">
        <v>24</v>
      </c>
      <c r="F15" t="s">
        <v>27</v>
      </c>
      <c r="G15" t="s">
        <v>17</v>
      </c>
      <c r="L15" t="s">
        <v>102</v>
      </c>
    </row>
    <row r="16" spans="1:12" x14ac:dyDescent="0.25">
      <c r="A16" t="s">
        <v>14</v>
      </c>
      <c r="B16" t="s">
        <v>20</v>
      </c>
      <c r="C16" t="s">
        <v>51</v>
      </c>
      <c r="D16" t="s">
        <v>90</v>
      </c>
      <c r="E16" t="s">
        <v>23</v>
      </c>
      <c r="F16" t="s">
        <v>28</v>
      </c>
      <c r="G16" t="s">
        <v>16</v>
      </c>
      <c r="L16" t="s">
        <v>101</v>
      </c>
    </row>
    <row r="17" spans="1:12" x14ac:dyDescent="0.25">
      <c r="A17" t="s">
        <v>14</v>
      </c>
      <c r="B17" t="s">
        <v>20</v>
      </c>
      <c r="C17" t="s">
        <v>55</v>
      </c>
      <c r="D17" t="s">
        <v>91</v>
      </c>
      <c r="E17" t="s">
        <v>23</v>
      </c>
      <c r="F17" t="s">
        <v>28</v>
      </c>
      <c r="G17" t="s">
        <v>16</v>
      </c>
      <c r="L17" t="s">
        <v>101</v>
      </c>
    </row>
    <row r="18" spans="1:12" x14ac:dyDescent="0.25">
      <c r="A18" t="s">
        <v>14</v>
      </c>
      <c r="B18" t="s">
        <v>21</v>
      </c>
      <c r="C18" t="s">
        <v>52</v>
      </c>
      <c r="D18" t="s">
        <v>92</v>
      </c>
      <c r="E18" t="s">
        <v>23</v>
      </c>
      <c r="F18" t="s">
        <v>28</v>
      </c>
      <c r="G18" t="s">
        <v>16</v>
      </c>
      <c r="L18" t="s">
        <v>101</v>
      </c>
    </row>
    <row r="19" spans="1:12" x14ac:dyDescent="0.25">
      <c r="A19" t="s">
        <v>14</v>
      </c>
      <c r="B19" t="s">
        <v>21</v>
      </c>
      <c r="C19" t="s">
        <v>53</v>
      </c>
      <c r="D19" t="s">
        <v>93</v>
      </c>
      <c r="E19" t="s">
        <v>23</v>
      </c>
      <c r="F19" t="s">
        <v>28</v>
      </c>
      <c r="G19" t="s">
        <v>16</v>
      </c>
      <c r="L19" t="s">
        <v>101</v>
      </c>
    </row>
    <row r="20" spans="1:12" x14ac:dyDescent="0.25">
      <c r="A20" t="s">
        <v>14</v>
      </c>
      <c r="B20" t="s">
        <v>19</v>
      </c>
      <c r="C20" t="s">
        <v>54</v>
      </c>
      <c r="D20" t="s">
        <v>94</v>
      </c>
      <c r="E20" t="s">
        <v>23</v>
      </c>
      <c r="F20" t="s">
        <v>28</v>
      </c>
      <c r="G20" t="s">
        <v>16</v>
      </c>
      <c r="L20" t="s">
        <v>101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364F-4524-4EE5-97B3-D91975D35744}">
  <dimension ref="A1:P17"/>
  <sheetViews>
    <sheetView workbookViewId="0">
      <selection activeCell="S10" sqref="S10"/>
    </sheetView>
  </sheetViews>
  <sheetFormatPr defaultRowHeight="15" x14ac:dyDescent="0.25"/>
  <cols>
    <col min="5" max="5" width="14.7109375" customWidth="1"/>
  </cols>
  <sheetData>
    <row r="1" spans="1:16" ht="90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</row>
    <row r="2" spans="1:16" x14ac:dyDescent="0.25">
      <c r="A2">
        <v>1</v>
      </c>
      <c r="B2" s="3">
        <v>45883</v>
      </c>
      <c r="C2">
        <v>1</v>
      </c>
      <c r="D2" s="4">
        <v>7.625</v>
      </c>
      <c r="E2">
        <v>17.187999999999999</v>
      </c>
      <c r="F2">
        <f t="shared" ref="F2:F17" si="0">E2-D2</f>
        <v>9.5629999999999988</v>
      </c>
      <c r="G2">
        <f>(F2-1)/F2</f>
        <v>0.89543030429781445</v>
      </c>
      <c r="H2">
        <v>0.31</v>
      </c>
      <c r="I2">
        <v>0.1</v>
      </c>
      <c r="J2">
        <v>1</v>
      </c>
      <c r="K2">
        <f>H2*J2</f>
        <v>0.31</v>
      </c>
      <c r="L2">
        <v>32.06</v>
      </c>
      <c r="M2">
        <f>K2/1000</f>
        <v>3.1E-4</v>
      </c>
      <c r="N2">
        <f>M2*L2</f>
        <v>9.9386000000000006E-3</v>
      </c>
      <c r="O2">
        <f>N2*G2</f>
        <v>8.8993236222942584E-3</v>
      </c>
      <c r="P2">
        <f>AVERAGE(O2:O7)</f>
        <v>8.5900545869188414E-3</v>
      </c>
    </row>
    <row r="3" spans="1:16" x14ac:dyDescent="0.25">
      <c r="A3">
        <v>2</v>
      </c>
      <c r="B3" s="3">
        <v>45883</v>
      </c>
      <c r="C3">
        <v>1</v>
      </c>
      <c r="D3" s="4">
        <v>7.56</v>
      </c>
      <c r="E3">
        <v>23.177</v>
      </c>
      <c r="F3">
        <f t="shared" si="0"/>
        <v>15.617000000000001</v>
      </c>
      <c r="G3">
        <f t="shared" ref="G3:G17" si="1">(F3-1)/F3</f>
        <v>0.93596721521418969</v>
      </c>
      <c r="H3">
        <v>0.27</v>
      </c>
      <c r="I3">
        <v>0.1</v>
      </c>
      <c r="J3">
        <v>1</v>
      </c>
      <c r="K3">
        <f t="shared" ref="K3:K12" si="2">H3*J3</f>
        <v>0.27</v>
      </c>
      <c r="L3">
        <v>32.06</v>
      </c>
      <c r="M3">
        <f t="shared" ref="M3:M12" si="3">K3/1000</f>
        <v>2.7E-4</v>
      </c>
      <c r="N3">
        <f t="shared" ref="N3:N12" si="4">M3*L3</f>
        <v>8.656200000000001E-3</v>
      </c>
      <c r="O3">
        <f t="shared" ref="O3:O12" si="5">N3*G3</f>
        <v>8.1019194083370698E-3</v>
      </c>
    </row>
    <row r="4" spans="1:16" x14ac:dyDescent="0.25">
      <c r="A4" s="1">
        <v>3</v>
      </c>
      <c r="B4" s="3">
        <v>45883</v>
      </c>
      <c r="C4">
        <v>1</v>
      </c>
      <c r="D4" s="5">
        <v>7.5350000000000001</v>
      </c>
      <c r="E4" s="1">
        <v>17.164999999999999</v>
      </c>
      <c r="F4" s="1">
        <f t="shared" si="0"/>
        <v>9.629999999999999</v>
      </c>
      <c r="G4">
        <f t="shared" si="1"/>
        <v>0.89615784008307375</v>
      </c>
      <c r="H4" s="1">
        <f>AVERAGE(0.12,0.11)</f>
        <v>0.11499999999999999</v>
      </c>
      <c r="I4" s="1">
        <v>0.1</v>
      </c>
      <c r="J4">
        <v>1</v>
      </c>
      <c r="K4">
        <f t="shared" si="2"/>
        <v>0.11499999999999999</v>
      </c>
      <c r="L4">
        <v>32.06</v>
      </c>
      <c r="M4">
        <f t="shared" si="3"/>
        <v>1.1499999999999999E-4</v>
      </c>
      <c r="N4">
        <f t="shared" si="4"/>
        <v>3.6868999999999999E-3</v>
      </c>
      <c r="O4">
        <f t="shared" si="5"/>
        <v>3.3040443406022846E-3</v>
      </c>
    </row>
    <row r="5" spans="1:16" x14ac:dyDescent="0.25">
      <c r="A5" s="1">
        <v>4</v>
      </c>
      <c r="B5" s="3">
        <v>45883</v>
      </c>
      <c r="C5">
        <v>1</v>
      </c>
      <c r="D5" s="5">
        <v>7.5289999999999999</v>
      </c>
      <c r="E5" s="1">
        <v>16.071000000000002</v>
      </c>
      <c r="F5" s="1">
        <f t="shared" si="0"/>
        <v>8.5420000000000016</v>
      </c>
      <c r="G5">
        <f t="shared" si="1"/>
        <v>0.88293139779911034</v>
      </c>
      <c r="H5" s="1">
        <v>0.33</v>
      </c>
      <c r="I5" s="1">
        <v>0.1</v>
      </c>
      <c r="J5" s="1">
        <v>1</v>
      </c>
      <c r="K5">
        <f t="shared" si="2"/>
        <v>0.33</v>
      </c>
      <c r="L5">
        <v>32.06</v>
      </c>
      <c r="M5">
        <f t="shared" si="3"/>
        <v>3.3E-4</v>
      </c>
      <c r="N5">
        <f t="shared" si="4"/>
        <v>1.05798E-2</v>
      </c>
      <c r="O5">
        <f t="shared" si="5"/>
        <v>9.3412376024350277E-3</v>
      </c>
    </row>
    <row r="6" spans="1:16" x14ac:dyDescent="0.25">
      <c r="A6">
        <v>5</v>
      </c>
      <c r="B6" s="3">
        <v>45883</v>
      </c>
      <c r="C6">
        <v>1</v>
      </c>
      <c r="D6" s="4">
        <v>7.5789999999999997</v>
      </c>
      <c r="E6">
        <v>16.524999999999999</v>
      </c>
      <c r="F6">
        <f t="shared" si="0"/>
        <v>8.945999999999998</v>
      </c>
      <c r="G6">
        <f t="shared" si="1"/>
        <v>0.88821819807735303</v>
      </c>
      <c r="H6">
        <v>0.33</v>
      </c>
      <c r="I6">
        <v>0.1</v>
      </c>
      <c r="J6">
        <v>1</v>
      </c>
      <c r="K6">
        <f t="shared" si="2"/>
        <v>0.33</v>
      </c>
      <c r="L6">
        <v>32.06</v>
      </c>
      <c r="M6">
        <f t="shared" si="3"/>
        <v>3.3E-4</v>
      </c>
      <c r="N6">
        <f t="shared" si="4"/>
        <v>1.05798E-2</v>
      </c>
      <c r="O6">
        <f t="shared" si="5"/>
        <v>9.3971708920187799E-3</v>
      </c>
    </row>
    <row r="7" spans="1:16" x14ac:dyDescent="0.25">
      <c r="A7" s="1">
        <v>6</v>
      </c>
      <c r="B7" s="3">
        <v>45883</v>
      </c>
      <c r="C7">
        <v>1</v>
      </c>
      <c r="D7" s="5">
        <v>7.6159999999999997</v>
      </c>
      <c r="E7" s="1">
        <v>16.379000000000001</v>
      </c>
      <c r="F7" s="1">
        <f t="shared" si="0"/>
        <v>8.7630000000000017</v>
      </c>
      <c r="G7">
        <f t="shared" si="1"/>
        <v>0.88588382973867397</v>
      </c>
      <c r="H7" s="1">
        <v>0.44</v>
      </c>
      <c r="I7" s="1">
        <v>0.1</v>
      </c>
      <c r="J7" s="1">
        <v>1</v>
      </c>
      <c r="K7">
        <f t="shared" si="2"/>
        <v>0.44</v>
      </c>
      <c r="L7">
        <v>32.06</v>
      </c>
      <c r="M7">
        <f t="shared" si="3"/>
        <v>4.4000000000000002E-4</v>
      </c>
      <c r="N7">
        <f t="shared" si="4"/>
        <v>1.4106400000000002E-2</v>
      </c>
      <c r="O7">
        <f t="shared" si="5"/>
        <v>1.2496631655825631E-2</v>
      </c>
    </row>
    <row r="8" spans="1:16" x14ac:dyDescent="0.25">
      <c r="A8" s="1">
        <v>1</v>
      </c>
      <c r="B8" s="6">
        <v>45945</v>
      </c>
      <c r="C8">
        <v>1</v>
      </c>
      <c r="D8" s="5">
        <v>7.798</v>
      </c>
      <c r="E8" s="1">
        <v>16.977</v>
      </c>
      <c r="F8" s="1">
        <f t="shared" si="0"/>
        <v>9.1790000000000003</v>
      </c>
      <c r="G8">
        <f t="shared" si="1"/>
        <v>0.8910556705523478</v>
      </c>
      <c r="H8" s="1">
        <v>0.33</v>
      </c>
      <c r="I8">
        <v>0.1</v>
      </c>
      <c r="J8" s="1">
        <v>1</v>
      </c>
      <c r="K8">
        <f t="shared" si="2"/>
        <v>0.33</v>
      </c>
      <c r="L8">
        <v>32.06</v>
      </c>
      <c r="M8">
        <f t="shared" si="3"/>
        <v>3.3E-4</v>
      </c>
      <c r="N8">
        <f t="shared" si="4"/>
        <v>1.05798E-2</v>
      </c>
      <c r="O8">
        <f t="shared" si="5"/>
        <v>9.4271907833097298E-3</v>
      </c>
      <c r="P8">
        <f>AVERAGE(O8:O12)</f>
        <v>1.0525060912693143E-2</v>
      </c>
    </row>
    <row r="9" spans="1:16" x14ac:dyDescent="0.25">
      <c r="A9">
        <v>2</v>
      </c>
      <c r="B9" s="6">
        <v>45945</v>
      </c>
      <c r="C9">
        <v>1</v>
      </c>
      <c r="D9" s="5">
        <v>7.8079999999999998</v>
      </c>
      <c r="E9">
        <v>15.545999999999999</v>
      </c>
      <c r="F9" s="1">
        <f t="shared" si="0"/>
        <v>7.7379999999999995</v>
      </c>
      <c r="G9">
        <f t="shared" si="1"/>
        <v>0.87076764021711039</v>
      </c>
      <c r="H9">
        <v>0.28000000000000003</v>
      </c>
      <c r="I9">
        <v>0.1</v>
      </c>
      <c r="J9" s="1">
        <v>1</v>
      </c>
      <c r="K9">
        <f t="shared" si="2"/>
        <v>0.28000000000000003</v>
      </c>
      <c r="L9">
        <v>32.06</v>
      </c>
      <c r="M9">
        <f t="shared" si="3"/>
        <v>2.8000000000000003E-4</v>
      </c>
      <c r="N9">
        <f t="shared" si="4"/>
        <v>8.9768000000000018E-3</v>
      </c>
      <c r="O9">
        <f t="shared" si="5"/>
        <v>7.8167069527009577E-3</v>
      </c>
    </row>
    <row r="10" spans="1:16" x14ac:dyDescent="0.25">
      <c r="A10" s="1">
        <v>3</v>
      </c>
      <c r="B10" s="6">
        <v>45945</v>
      </c>
      <c r="C10">
        <v>1</v>
      </c>
      <c r="D10" s="5">
        <v>7.8170000000000002</v>
      </c>
      <c r="E10" s="1">
        <v>15.779</v>
      </c>
      <c r="F10" s="1">
        <f t="shared" si="0"/>
        <v>7.9619999999999997</v>
      </c>
      <c r="G10">
        <f t="shared" si="1"/>
        <v>0.87440341622707862</v>
      </c>
      <c r="H10" s="1">
        <v>0.41</v>
      </c>
      <c r="I10">
        <v>0.1</v>
      </c>
      <c r="J10" s="1">
        <v>1</v>
      </c>
      <c r="K10">
        <f t="shared" si="2"/>
        <v>0.41</v>
      </c>
      <c r="L10">
        <v>32.06</v>
      </c>
      <c r="M10">
        <f t="shared" si="3"/>
        <v>4.0999999999999999E-4</v>
      </c>
      <c r="N10">
        <f t="shared" si="4"/>
        <v>1.3144600000000001E-2</v>
      </c>
      <c r="O10">
        <f t="shared" si="5"/>
        <v>1.1493683144938458E-2</v>
      </c>
    </row>
    <row r="11" spans="1:16" x14ac:dyDescent="0.25">
      <c r="A11">
        <v>4</v>
      </c>
      <c r="B11" s="6">
        <v>45945</v>
      </c>
      <c r="C11">
        <v>1</v>
      </c>
      <c r="D11" s="5">
        <v>7.601</v>
      </c>
      <c r="E11">
        <v>14.753</v>
      </c>
      <c r="F11" s="1">
        <f t="shared" si="0"/>
        <v>7.1520000000000001</v>
      </c>
      <c r="G11">
        <f t="shared" si="1"/>
        <v>0.86017897091722595</v>
      </c>
      <c r="H11">
        <v>0.44</v>
      </c>
      <c r="I11">
        <v>0.1</v>
      </c>
      <c r="J11" s="1">
        <v>1</v>
      </c>
      <c r="K11">
        <f t="shared" si="2"/>
        <v>0.44</v>
      </c>
      <c r="L11">
        <v>32.06</v>
      </c>
      <c r="M11">
        <f t="shared" si="3"/>
        <v>4.4000000000000002E-4</v>
      </c>
      <c r="N11">
        <f t="shared" si="4"/>
        <v>1.4106400000000002E-2</v>
      </c>
      <c r="O11">
        <f t="shared" si="5"/>
        <v>1.2134028635346758E-2</v>
      </c>
    </row>
    <row r="12" spans="1:16" x14ac:dyDescent="0.25">
      <c r="A12" s="1">
        <v>5</v>
      </c>
      <c r="B12" s="6">
        <v>45945</v>
      </c>
      <c r="C12">
        <v>1</v>
      </c>
      <c r="D12" s="5">
        <v>7.6029999999999998</v>
      </c>
      <c r="E12" s="1">
        <v>14.387</v>
      </c>
      <c r="F12" s="1">
        <f t="shared" si="0"/>
        <v>6.7840000000000007</v>
      </c>
      <c r="G12">
        <f t="shared" si="1"/>
        <v>0.85259433962264153</v>
      </c>
      <c r="H12" s="1">
        <v>0.43</v>
      </c>
      <c r="I12">
        <v>0.1</v>
      </c>
      <c r="J12" s="1">
        <v>1</v>
      </c>
      <c r="K12">
        <f t="shared" si="2"/>
        <v>0.43</v>
      </c>
      <c r="L12">
        <v>32.06</v>
      </c>
      <c r="M12">
        <f t="shared" si="3"/>
        <v>4.2999999999999999E-4</v>
      </c>
      <c r="N12">
        <f t="shared" si="4"/>
        <v>1.3785800000000001E-2</v>
      </c>
      <c r="O12">
        <f t="shared" si="5"/>
        <v>1.1753695047169813E-2</v>
      </c>
    </row>
    <row r="13" spans="1:16" x14ac:dyDescent="0.25">
      <c r="A13">
        <v>1</v>
      </c>
      <c r="B13" s="3">
        <v>45973</v>
      </c>
      <c r="C13">
        <v>1</v>
      </c>
      <c r="D13" s="5">
        <v>8.9030000000000005</v>
      </c>
      <c r="E13">
        <v>17.050999999999998</v>
      </c>
      <c r="F13" s="1">
        <f t="shared" si="0"/>
        <v>8.1479999999999979</v>
      </c>
      <c r="G13">
        <f t="shared" si="1"/>
        <v>0.87727049582719685</v>
      </c>
      <c r="H13">
        <v>0.35</v>
      </c>
      <c r="I13">
        <v>0.1</v>
      </c>
      <c r="J13" s="1">
        <v>1</v>
      </c>
      <c r="K13">
        <f t="shared" ref="K13:K17" si="6">H13*J13</f>
        <v>0.35</v>
      </c>
      <c r="L13">
        <v>32.06</v>
      </c>
      <c r="M13">
        <f t="shared" ref="M13:M17" si="7">K13/1000</f>
        <v>3.5E-4</v>
      </c>
      <c r="N13">
        <f t="shared" ref="N13:N17" si="8">M13*L13</f>
        <v>1.1221E-2</v>
      </c>
      <c r="O13">
        <f t="shared" ref="O13:O17" si="9">N13*G13</f>
        <v>9.8438522336769755E-3</v>
      </c>
      <c r="P13">
        <f>AVERAGE(O13:O17)</f>
        <v>8.6822639071054888E-3</v>
      </c>
    </row>
    <row r="14" spans="1:16" x14ac:dyDescent="0.25">
      <c r="A14" s="1">
        <v>2</v>
      </c>
      <c r="B14" s="3">
        <v>45973</v>
      </c>
      <c r="C14">
        <v>1</v>
      </c>
      <c r="D14" s="5">
        <v>8.9269999999999996</v>
      </c>
      <c r="E14" s="1">
        <v>17.248000000000001</v>
      </c>
      <c r="F14" s="1">
        <f t="shared" si="0"/>
        <v>8.3210000000000015</v>
      </c>
      <c r="G14">
        <f t="shared" si="1"/>
        <v>0.87982213676240839</v>
      </c>
      <c r="H14" s="1">
        <v>0.3</v>
      </c>
      <c r="I14">
        <v>0.1</v>
      </c>
      <c r="J14" s="1">
        <v>1</v>
      </c>
      <c r="K14">
        <f t="shared" si="6"/>
        <v>0.3</v>
      </c>
      <c r="L14">
        <v>32.06</v>
      </c>
      <c r="M14">
        <f t="shared" si="7"/>
        <v>2.9999999999999997E-4</v>
      </c>
      <c r="N14">
        <f t="shared" si="8"/>
        <v>9.6179999999999998E-3</v>
      </c>
      <c r="O14">
        <f t="shared" si="9"/>
        <v>8.4621293113808435E-3</v>
      </c>
    </row>
    <row r="15" spans="1:16" x14ac:dyDescent="0.25">
      <c r="A15">
        <v>3</v>
      </c>
      <c r="B15" s="3">
        <v>45973</v>
      </c>
      <c r="C15">
        <v>1</v>
      </c>
      <c r="D15" s="5">
        <v>8.8840000000000003</v>
      </c>
      <c r="E15">
        <v>17.018999999999998</v>
      </c>
      <c r="F15" s="1">
        <f t="shared" si="0"/>
        <v>8.134999999999998</v>
      </c>
      <c r="G15">
        <f t="shared" si="1"/>
        <v>0.8770743700061463</v>
      </c>
      <c r="H15">
        <v>0.3</v>
      </c>
      <c r="I15">
        <v>0.1</v>
      </c>
      <c r="J15" s="1">
        <v>1</v>
      </c>
      <c r="K15">
        <f t="shared" si="6"/>
        <v>0.3</v>
      </c>
      <c r="L15">
        <v>32.06</v>
      </c>
      <c r="M15">
        <f t="shared" si="7"/>
        <v>2.9999999999999997E-4</v>
      </c>
      <c r="N15">
        <f t="shared" si="8"/>
        <v>9.6179999999999998E-3</v>
      </c>
      <c r="O15">
        <f t="shared" si="9"/>
        <v>8.4357012907191158E-3</v>
      </c>
    </row>
    <row r="16" spans="1:16" x14ac:dyDescent="0.25">
      <c r="A16" s="1">
        <v>4</v>
      </c>
      <c r="B16" s="3">
        <v>45973</v>
      </c>
      <c r="C16">
        <v>1</v>
      </c>
      <c r="D16" s="5">
        <v>8.8770000000000007</v>
      </c>
      <c r="E16" s="1">
        <v>17.268999999999998</v>
      </c>
      <c r="F16" s="1">
        <f t="shared" si="0"/>
        <v>8.3919999999999977</v>
      </c>
      <c r="G16">
        <f t="shared" si="1"/>
        <v>0.88083889418493799</v>
      </c>
      <c r="H16" s="1">
        <v>0.33</v>
      </c>
      <c r="I16">
        <v>0.1</v>
      </c>
      <c r="J16" s="1">
        <v>1</v>
      </c>
      <c r="K16">
        <f t="shared" si="6"/>
        <v>0.33</v>
      </c>
      <c r="L16">
        <v>32.06</v>
      </c>
      <c r="M16">
        <f t="shared" si="7"/>
        <v>3.3E-4</v>
      </c>
      <c r="N16">
        <f t="shared" si="8"/>
        <v>1.05798E-2</v>
      </c>
      <c r="O16">
        <f t="shared" si="9"/>
        <v>9.3190993326978076E-3</v>
      </c>
    </row>
    <row r="17" spans="1:15" x14ac:dyDescent="0.25">
      <c r="A17">
        <v>5</v>
      </c>
      <c r="B17" s="3">
        <v>45973</v>
      </c>
      <c r="C17">
        <v>1</v>
      </c>
      <c r="D17" s="2">
        <v>8.8710000000000004</v>
      </c>
      <c r="E17" s="2">
        <v>17.332999999999998</v>
      </c>
      <c r="F17" s="2">
        <f t="shared" si="0"/>
        <v>8.461999999999998</v>
      </c>
      <c r="G17" s="2">
        <f t="shared" si="1"/>
        <v>0.88182462774757742</v>
      </c>
      <c r="H17" s="2">
        <v>0.26</v>
      </c>
      <c r="I17">
        <v>0.1</v>
      </c>
      <c r="J17" s="1">
        <v>1</v>
      </c>
      <c r="K17">
        <f t="shared" si="6"/>
        <v>0.26</v>
      </c>
      <c r="L17">
        <v>32.06</v>
      </c>
      <c r="M17">
        <f t="shared" si="7"/>
        <v>2.6000000000000003E-4</v>
      </c>
      <c r="N17">
        <f t="shared" si="8"/>
        <v>8.335600000000002E-3</v>
      </c>
      <c r="O17">
        <f t="shared" si="9"/>
        <v>7.3505373670527084E-3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IEE</vt:lpstr>
      <vt:lpstr>LIME</vt:lpstr>
      <vt:lpstr>ZnAc (Sulfide)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Ort, Roger</dc:creator>
  <cp:lastModifiedBy>Roger Ort</cp:lastModifiedBy>
  <dcterms:created xsi:type="dcterms:W3CDTF">2025-12-04T19:39:10Z</dcterms:created>
  <dcterms:modified xsi:type="dcterms:W3CDTF">2026-09-22T21:05:03Z</dcterms:modified>
</cp:coreProperties>
</file>