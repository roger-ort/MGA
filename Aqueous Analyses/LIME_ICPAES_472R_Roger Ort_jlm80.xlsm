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pennstateoffice365.sharepoint.com/sites/LIMEResearchLabs/Shared Documents/General/ICP-AES lab/ICP-AES/reports/Code Gernerated Reports/"/>
    </mc:Choice>
  </mc:AlternateContent>
  <xr:revisionPtr revIDLastSave="339" documentId="8_{D3510F9A-80B7-4952-8617-7461253620C1}" xr6:coauthVersionLast="47" xr6:coauthVersionMax="47" xr10:uidLastSave="{55ACB0E2-01C1-4838-B200-8F9970C34AC8}"/>
  <bookViews>
    <workbookView xWindow="-120" yWindow="-120" windowWidth="29040" windowHeight="15720" firstSheet="1" activeTab="1" xr2:uid="{ED8C25E7-4D69-4638-A36B-E68D76BF29CC}"/>
  </bookViews>
  <sheets>
    <sheet name="DMconvert" sheetId="6" state="hidden" r:id="rId1"/>
    <sheet name="Results" sheetId="4" r:id="rId2"/>
    <sheet name="Sheet1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4" l="1" a="1"/>
  <c r="A1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<sst xmlns="http://schemas.openxmlformats.org/spreadsheetml/2006/main" count="528" uniqueCount="275">
  <si>
    <t>Ag2O</t>
  </si>
  <si>
    <t>Ag (ppm)</t>
  </si>
  <si>
    <t>Al2O3</t>
  </si>
  <si>
    <t>Al (ppm)</t>
  </si>
  <si>
    <t>As2O3</t>
  </si>
  <si>
    <t>As (ppm)</t>
  </si>
  <si>
    <t xml:space="preserve"> B2O3</t>
  </si>
  <si>
    <t>B (ppm)</t>
  </si>
  <si>
    <t>BaO</t>
  </si>
  <si>
    <t>Ba (ppm)</t>
  </si>
  <si>
    <t>BeO</t>
  </si>
  <si>
    <t>Be (ppm)</t>
  </si>
  <si>
    <t>Bi2O3</t>
  </si>
  <si>
    <t>Bi (ppm)</t>
  </si>
  <si>
    <t>CaO</t>
  </si>
  <si>
    <t>Ca (ppm)</t>
  </si>
  <si>
    <t>CdO</t>
  </si>
  <si>
    <t>Cd (ppm)</t>
  </si>
  <si>
    <t xml:space="preserve"> CeO2</t>
  </si>
  <si>
    <t>Ce (ppm)</t>
  </si>
  <si>
    <t>CoO</t>
  </si>
  <si>
    <t>Co (ppm)</t>
  </si>
  <si>
    <t>Cr2O3</t>
  </si>
  <si>
    <t>Cr (ppm)</t>
  </si>
  <si>
    <t>Cs2O</t>
  </si>
  <si>
    <t>Cs (ppm)</t>
  </si>
  <si>
    <t>CuO</t>
  </si>
  <si>
    <t>Cu (ppm)</t>
  </si>
  <si>
    <t>Dy2O3</t>
  </si>
  <si>
    <t>Dy (ppm)</t>
  </si>
  <si>
    <t>Er2O3</t>
  </si>
  <si>
    <t>Er (ppm)</t>
  </si>
  <si>
    <t>Eu2O3</t>
  </si>
  <si>
    <t>Eu (ppm)</t>
  </si>
  <si>
    <t>Fe2O3</t>
  </si>
  <si>
    <t>Fe (ppm)</t>
  </si>
  <si>
    <t>Ga2O3</t>
  </si>
  <si>
    <t>Ga (ppm)</t>
  </si>
  <si>
    <t>Gd2O3</t>
  </si>
  <si>
    <t>Gd (ppm)</t>
  </si>
  <si>
    <t>GeO2</t>
  </si>
  <si>
    <t>Ge (ppm)</t>
  </si>
  <si>
    <t>HfO2</t>
  </si>
  <si>
    <t>Hf (ppm)</t>
  </si>
  <si>
    <t>Ho2O3</t>
  </si>
  <si>
    <t>Ho (ppm)</t>
  </si>
  <si>
    <t>In2O3</t>
  </si>
  <si>
    <t>In (ppm)</t>
  </si>
  <si>
    <t>K2O</t>
  </si>
  <si>
    <t>K (ppm)</t>
  </si>
  <si>
    <t>La2O3</t>
  </si>
  <si>
    <t>La (ppm)</t>
  </si>
  <si>
    <t>Li2O</t>
  </si>
  <si>
    <t>Li (ppm)</t>
  </si>
  <si>
    <t>Lu2O3</t>
  </si>
  <si>
    <t>Lu (ppm)</t>
  </si>
  <si>
    <t>MgO</t>
  </si>
  <si>
    <t>Mg (ppm)</t>
  </si>
  <si>
    <t>MnO</t>
  </si>
  <si>
    <t>Mn (ppm)</t>
  </si>
  <si>
    <t>MoO3</t>
  </si>
  <si>
    <t>Mo (ppm)</t>
  </si>
  <si>
    <t>Na2O</t>
  </si>
  <si>
    <t>Na (ppm)</t>
  </si>
  <si>
    <t>Nb2O5</t>
  </si>
  <si>
    <t>Nb (ppm)</t>
  </si>
  <si>
    <t>Nd2O3</t>
  </si>
  <si>
    <t>Nd (ppm)</t>
  </si>
  <si>
    <t>NiO</t>
  </si>
  <si>
    <t>Ni (ppm)</t>
  </si>
  <si>
    <t>P2O5</t>
  </si>
  <si>
    <t>P (ppm)</t>
  </si>
  <si>
    <t>PdO</t>
  </si>
  <si>
    <t>Pd (ppm)</t>
  </si>
  <si>
    <t>PbO</t>
  </si>
  <si>
    <t>Pb (ppm)</t>
  </si>
  <si>
    <t>Pr2O3</t>
  </si>
  <si>
    <t>Pr (ppm)</t>
  </si>
  <si>
    <t>PtO2</t>
  </si>
  <si>
    <t>Pt (ppm)</t>
  </si>
  <si>
    <t>Rb2O</t>
  </si>
  <si>
    <t>Rb (ppm)</t>
  </si>
  <si>
    <t>Sb2O3</t>
  </si>
  <si>
    <t>Sb (ppm)</t>
  </si>
  <si>
    <t>Sc2O3</t>
  </si>
  <si>
    <t>Sc (ppm)</t>
  </si>
  <si>
    <t>SeO2</t>
  </si>
  <si>
    <t>Se (ppm)</t>
  </si>
  <si>
    <t>SiO2</t>
  </si>
  <si>
    <t>Si (ppm)</t>
  </si>
  <si>
    <t>Sm2O3</t>
  </si>
  <si>
    <t>Sm (ppm)</t>
  </si>
  <si>
    <t>SnO2</t>
  </si>
  <si>
    <t>Sn (ppm)</t>
  </si>
  <si>
    <t>SrO</t>
  </si>
  <si>
    <t>Sr (ppm)</t>
  </si>
  <si>
    <t>Ta2O5</t>
  </si>
  <si>
    <t>Ta (ppm)</t>
  </si>
  <si>
    <t>Tb2O3</t>
  </si>
  <si>
    <t>Tb (ppm)</t>
  </si>
  <si>
    <t>TeO2</t>
  </si>
  <si>
    <t>Te (ppm)</t>
  </si>
  <si>
    <t>ThO2</t>
  </si>
  <si>
    <t>Th (ppm)</t>
  </si>
  <si>
    <t>TiO2</t>
  </si>
  <si>
    <t>Ti (ppm)</t>
  </si>
  <si>
    <t>Tl2O</t>
  </si>
  <si>
    <t>Tl (ppm)</t>
  </si>
  <si>
    <t>Tm2O3</t>
  </si>
  <si>
    <t>Tm (ppm)</t>
  </si>
  <si>
    <t>UO3</t>
  </si>
  <si>
    <t>U (ppm)</t>
  </si>
  <si>
    <t>V2O5</t>
  </si>
  <si>
    <t>V (ppm)</t>
  </si>
  <si>
    <t>WO3</t>
  </si>
  <si>
    <t>W (ppm)</t>
  </si>
  <si>
    <t xml:space="preserve"> Y2O3</t>
  </si>
  <si>
    <t>Y (ppm)</t>
  </si>
  <si>
    <t>Yb2O3</t>
  </si>
  <si>
    <t>Yb (ppm)</t>
  </si>
  <si>
    <t xml:space="preserve"> ZnO</t>
  </si>
  <si>
    <t>Zn (ppm)</t>
  </si>
  <si>
    <t>ZrO2</t>
  </si>
  <si>
    <t>Zr (ppm)</t>
  </si>
  <si>
    <t>Ag</t>
  </si>
  <si>
    <t>Ag2O (%)</t>
  </si>
  <si>
    <t>Al</t>
  </si>
  <si>
    <t>Al2O3 (%)</t>
  </si>
  <si>
    <t>As</t>
  </si>
  <si>
    <t>As2O3 (%)</t>
  </si>
  <si>
    <t>B</t>
  </si>
  <si>
    <t xml:space="preserve"> B2O3 (%)</t>
  </si>
  <si>
    <t>Ba</t>
  </si>
  <si>
    <t>BaO (%)</t>
  </si>
  <si>
    <t>Be</t>
  </si>
  <si>
    <t>BeO (%)</t>
  </si>
  <si>
    <t>Bi</t>
  </si>
  <si>
    <t>Bi2O3 (%)</t>
  </si>
  <si>
    <t>Ca</t>
  </si>
  <si>
    <t>CaO (%)</t>
  </si>
  <si>
    <t>Cd</t>
  </si>
  <si>
    <t>CdO (%)</t>
  </si>
  <si>
    <t>Ce</t>
  </si>
  <si>
    <t xml:space="preserve"> CeO2 (%)</t>
  </si>
  <si>
    <t>Co</t>
  </si>
  <si>
    <t>CoO (%)</t>
  </si>
  <si>
    <t>Cr</t>
  </si>
  <si>
    <t>Cr2O3 (%)</t>
  </si>
  <si>
    <t>Cs</t>
  </si>
  <si>
    <t>Cs2O (%)</t>
  </si>
  <si>
    <t>Cu</t>
  </si>
  <si>
    <t>CuO (%)</t>
  </si>
  <si>
    <t>Dy</t>
  </si>
  <si>
    <t>Dy2O3 (%)</t>
  </si>
  <si>
    <t>Er</t>
  </si>
  <si>
    <t>Er2O3 (%)</t>
  </si>
  <si>
    <t>Eu</t>
  </si>
  <si>
    <t>Eu2O3 (%)</t>
  </si>
  <si>
    <t>Fe</t>
  </si>
  <si>
    <t>Fe2O3 (%)</t>
  </si>
  <si>
    <t>Ga</t>
  </si>
  <si>
    <t>Ga2O3 (%)</t>
  </si>
  <si>
    <t>Gd</t>
  </si>
  <si>
    <t>Gd2O3 (%)</t>
  </si>
  <si>
    <t>Ge</t>
  </si>
  <si>
    <t>GeO2 (%)</t>
  </si>
  <si>
    <t>Hf</t>
  </si>
  <si>
    <t>HfO2 (%)</t>
  </si>
  <si>
    <t>Ho</t>
  </si>
  <si>
    <t>Ho2O3 (%)</t>
  </si>
  <si>
    <t>In</t>
  </si>
  <si>
    <t>In2O3 (%)</t>
  </si>
  <si>
    <t>K</t>
  </si>
  <si>
    <t>K2O (%)</t>
  </si>
  <si>
    <t>La</t>
  </si>
  <si>
    <t>La2O3 (%)</t>
  </si>
  <si>
    <t>Li</t>
  </si>
  <si>
    <t>Li2O (%)</t>
  </si>
  <si>
    <t>Lu</t>
  </si>
  <si>
    <t>Lu2O3 (%)</t>
  </si>
  <si>
    <t>Mg</t>
  </si>
  <si>
    <t>MgO (%)</t>
  </si>
  <si>
    <t>Mn</t>
  </si>
  <si>
    <t>MnO (%)</t>
  </si>
  <si>
    <t>Mo</t>
  </si>
  <si>
    <t>MoO3 (%)</t>
  </si>
  <si>
    <t>Na</t>
  </si>
  <si>
    <t>Na2O (%)</t>
  </si>
  <si>
    <t>Nb</t>
  </si>
  <si>
    <t>Nb2O5 (%)</t>
  </si>
  <si>
    <t>Nd</t>
  </si>
  <si>
    <t>Nd2O3 (%)</t>
  </si>
  <si>
    <t>Ni</t>
  </si>
  <si>
    <t>NiO (%)</t>
  </si>
  <si>
    <t>P</t>
  </si>
  <si>
    <t>P2O5 (%)</t>
  </si>
  <si>
    <t>Pd</t>
  </si>
  <si>
    <t>PdO (%)</t>
  </si>
  <si>
    <t>Pb</t>
  </si>
  <si>
    <t>PbO (%)</t>
  </si>
  <si>
    <t>Pr</t>
  </si>
  <si>
    <t>Pr2O3 (%)</t>
  </si>
  <si>
    <t>Pt</t>
  </si>
  <si>
    <t>PtO2 (%)</t>
  </si>
  <si>
    <t>Rb</t>
  </si>
  <si>
    <t>Rb2O (%)</t>
  </si>
  <si>
    <t>Sb</t>
  </si>
  <si>
    <t>Sb2O3 (%)</t>
  </si>
  <si>
    <t>Sc</t>
  </si>
  <si>
    <t>Sc2O3 (%)</t>
  </si>
  <si>
    <t>Se</t>
  </si>
  <si>
    <t>SeO2 (%)</t>
  </si>
  <si>
    <t>Si</t>
  </si>
  <si>
    <t>SiO2 (%)</t>
  </si>
  <si>
    <t>Sm</t>
  </si>
  <si>
    <t>Sm2O3 (%)</t>
  </si>
  <si>
    <t>Sn</t>
  </si>
  <si>
    <t>SnO2 (%)</t>
  </si>
  <si>
    <t>Sr</t>
  </si>
  <si>
    <t>SrO (%)</t>
  </si>
  <si>
    <t>Ta</t>
  </si>
  <si>
    <t>Ta2O5 (%)</t>
  </si>
  <si>
    <t>Tb</t>
  </si>
  <si>
    <t>Tb2O3 (%)</t>
  </si>
  <si>
    <t>Te</t>
  </si>
  <si>
    <t>TeO2 (%)</t>
  </si>
  <si>
    <t>Th</t>
  </si>
  <si>
    <t>ThO2 (%)</t>
  </si>
  <si>
    <t>Ti</t>
  </si>
  <si>
    <t>TiO2 (%)</t>
  </si>
  <si>
    <t>Tl</t>
  </si>
  <si>
    <t>Tl2O (%)</t>
  </si>
  <si>
    <t>Tm</t>
  </si>
  <si>
    <t>Tm2O3 (%)</t>
  </si>
  <si>
    <t>U</t>
  </si>
  <si>
    <t>UO3 (%)</t>
  </si>
  <si>
    <t>V</t>
  </si>
  <si>
    <t>V2O5 (%)</t>
  </si>
  <si>
    <t>W</t>
  </si>
  <si>
    <t>WO3 (%)</t>
  </si>
  <si>
    <t>Y</t>
  </si>
  <si>
    <t xml:space="preserve"> Y2O3 (%)</t>
  </si>
  <si>
    <t>Yb</t>
  </si>
  <si>
    <t>Yb2O3 (%)</t>
  </si>
  <si>
    <t>Zn</t>
  </si>
  <si>
    <t xml:space="preserve"> ZnO (%)</t>
  </si>
  <si>
    <t>Zr</t>
  </si>
  <si>
    <t>ZrO2 (%)</t>
  </si>
  <si>
    <t>From:</t>
  </si>
  <si>
    <t>Date</t>
  </si>
  <si>
    <t>Basis</t>
  </si>
  <si>
    <t>Instrument</t>
  </si>
  <si>
    <t>Subject</t>
  </si>
  <si>
    <t>Units</t>
  </si>
  <si>
    <t>Det. Limit</t>
  </si>
  <si>
    <t>Our ID</t>
  </si>
  <si>
    <r>
      <t xml:space="preserve">F </t>
    </r>
    <r>
      <rPr>
        <vertAlign val="superscript"/>
        <sz val="10"/>
        <rFont val="Arial"/>
        <family val="2"/>
      </rPr>
      <t>-</t>
    </r>
    <r>
      <rPr>
        <sz val="10"/>
        <rFont val="Arial"/>
        <family val="2"/>
      </rPr>
      <t xml:space="preserve"> (ug/mL)</t>
    </r>
  </si>
  <si>
    <r>
      <t xml:space="preserve">Cl </t>
    </r>
    <r>
      <rPr>
        <vertAlign val="superscript"/>
        <sz val="10"/>
        <rFont val="Arial"/>
        <family val="2"/>
      </rPr>
      <t>-</t>
    </r>
    <r>
      <rPr>
        <sz val="10"/>
        <rFont val="Arial"/>
        <family val="2"/>
      </rPr>
      <t xml:space="preserve"> (ug/mL)</t>
    </r>
  </si>
  <si>
    <r>
      <t>SO</t>
    </r>
    <r>
      <rPr>
        <vertAlign val="subscript"/>
        <sz val="10"/>
        <rFont val="Arial"/>
        <family val="2"/>
      </rPr>
      <t>4</t>
    </r>
    <r>
      <rPr>
        <vertAlign val="superscript"/>
        <sz val="10"/>
        <rFont val="Arial"/>
        <family val="2"/>
      </rPr>
      <t>2-</t>
    </r>
    <r>
      <rPr>
        <sz val="10"/>
        <rFont val="Arial"/>
        <family val="2"/>
      </rPr>
      <t xml:space="preserve"> (ug/mL)</t>
    </r>
  </si>
  <si>
    <r>
      <t>NO</t>
    </r>
    <r>
      <rPr>
        <vertAlign val="subscript"/>
        <sz val="10"/>
        <rFont val="Arial"/>
        <family val="2"/>
      </rPr>
      <t>3</t>
    </r>
    <r>
      <rPr>
        <vertAlign val="superscript"/>
        <sz val="10"/>
        <rFont val="Arial"/>
        <family val="2"/>
      </rPr>
      <t>-</t>
    </r>
    <r>
      <rPr>
        <sz val="10"/>
        <rFont val="Arial"/>
        <family val="2"/>
      </rPr>
      <t xml:space="preserve"> (ug/mL)</t>
    </r>
  </si>
  <si>
    <t>Michael Robbins, 312 Hosler Building</t>
  </si>
  <si>
    <t>As-Received</t>
  </si>
  <si>
    <t>Dionex ICS 2100 Ion Chromatography System</t>
  </si>
  <si>
    <t>Ion Chromatography</t>
  </si>
  <si>
    <t>µg/ml = µg g-1 = µg/gm = mg/L</t>
  </si>
  <si>
    <t>Your ID</t>
  </si>
  <si>
    <t>2X dil New QC</t>
  </si>
  <si>
    <t>QC mix</t>
  </si>
  <si>
    <t xml:space="preserve">BD </t>
  </si>
  <si>
    <t>BD = Below detection</t>
  </si>
  <si>
    <t>RCO 10</t>
  </si>
  <si>
    <t>RCO 11</t>
  </si>
  <si>
    <t>RCO 12</t>
  </si>
  <si>
    <t>RCO 13</t>
  </si>
  <si>
    <t>RCO 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</si>
</sst>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00_)"/>
    <numFmt numFmtId="166" formatCode="mm/dd/yyyy"/>
    <numFmt numFmtId="167" formatCode="0.0000&quot;  &quot;"/>
  </numFmts>
  <fonts count="8" x14ac:knownFonts="1">
    <font>
      <sz val="11"/>
      <color theme="1"/>
      <name val="Aptos Narrow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6"/>
      <name val="Arial"/>
      <family val="2"/>
    </font>
    <font>
      <vertAlign val="superscript"/>
      <sz val="10"/>
      <name val="Arial"/>
      <family val="2"/>
    </font>
    <font>
      <vertAlign val="subscript"/>
      <sz val="10"/>
      <name val="Arial"/>
      <family val="2"/>
    </font>
    <font>
      <sz val="8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8">
    <xf numFmtId="0" fontId="0" fillId="0" borderId="0" xfId="0"/>
    <xf numFmtId="2" fontId="2" fillId="0" borderId="0" xfId="1" applyNumberFormat="1" applyFont="1" applyAlignment="1">
      <alignment horizontal="right"/>
    </xf>
    <xf numFmtId="0" fontId="3" fillId="0" borderId="0" xfId="1" applyFont="1" applyAlignment="1">
      <alignment horizontal="center"/>
    </xf>
    <xf numFmtId="0" fontId="2" fillId="0" borderId="0" xfId="1" applyFont="1" applyAlignment="1">
      <alignment horizontal="right"/>
    </xf>
    <xf numFmtId="0" fontId="2" fillId="0" borderId="0" xfId="1" applyFont="1" applyAlignment="1">
      <alignment horizontal="center"/>
    </xf>
    <xf numFmtId="0" fontId="2" fillId="0" borderId="0" xfId="1" applyFont="1" applyAlignment="1">
      <alignment horizontal="left"/>
    </xf>
    <xf numFmtId="0" fontId="2" fillId="0" borderId="0" xfId="1" applyFont="1"/>
    <xf numFmtId="2" fontId="2" fillId="0" borderId="0" xfId="1" applyNumberFormat="1" applyFont="1"/>
    <xf numFmtId="14" fontId="2" fillId="0" borderId="0" xfId="1" applyNumberFormat="1" applyFont="1" applyAlignment="1">
      <alignment horizontal="left"/>
    </xf>
    <xf numFmtId="2" fontId="3" fillId="0" borderId="0" xfId="1" applyNumberFormat="1" applyFont="1" applyAlignment="1">
      <alignment horizontal="center"/>
    </xf>
    <xf numFmtId="164" fontId="2" fillId="0" borderId="0" xfId="1" applyNumberFormat="1" applyFont="1" applyAlignment="1">
      <alignment horizontal="right"/>
    </xf>
    <xf numFmtId="0" fontId="4" fillId="0" borderId="0" xfId="0" applyFon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6" fontId="2" fillId="0" borderId="0" xfId="1" applyNumberFormat="1" applyFont="1" applyAlignment="1">
      <alignment horizontal="left"/>
    </xf>
    <xf numFmtId="2" fontId="2" fillId="0" borderId="0" xfId="1" applyNumberFormat="1" applyFont="1" applyAlignment="1">
      <alignment horizontal="center"/>
    </xf>
    <xf numFmtId="0" fontId="2" fillId="0" borderId="0" xfId="1" applyFont="1" applyBorder="1"/>
    <xf numFmtId="0" fontId="7" fillId="0" borderId="0" xfId="0" applyFont="1" applyBorder="1" applyAlignment="1">
      <alignment horizontal="left" vertical="center"/>
    </xf>
    <xf numFmtId="2" fontId="2" fillId="0" borderId="0" xfId="1" applyNumberFormat="1" applyFont="1" applyBorder="1" applyAlignment="1">
      <alignment horizontal="right"/>
    </xf>
    <xf numFmtId="2" fontId="1" fillId="0" borderId="0" xfId="1" applyNumberFormat="1" applyFont="1" applyBorder="1" applyAlignment="1">
      <alignment horizontal="left"/>
    </xf>
    <xf numFmtId="2" fontId="2" fillId="0" borderId="0" xfId="1" applyNumberFormat="1" applyFont="1" applyBorder="1"/>
    <xf numFmtId="2" fontId="7" fillId="0" borderId="0" xfId="0" applyNumberFormat="1" applyFont="1" applyBorder="1" applyAlignment="1">
      <alignment vertical="center"/>
    </xf>
    <xf numFmtId="164" fontId="0" fillId="0" borderId="0" xfId="0" applyNumberFormat="1" applyBorder="1" applyAlignment="1"/>
    <xf numFmtId="1" fontId="0" fillId="0" borderId="0" xfId="0" applyNumberFormat="1" applyBorder="1" applyAlignment="1"/>
    <xf numFmtId="2" fontId="2" fillId="0" borderId="0" xfId="1" applyNumberFormat="1" applyFont="1" applyBorder="1" applyAlignment="1"/>
    <xf numFmtId="164" fontId="2" fillId="0" borderId="0" xfId="1" applyNumberFormat="1" applyFont="1" applyBorder="1" applyAlignment="1"/>
    <xf numFmtId="164" fontId="7" fillId="0" borderId="0" xfId="0" applyNumberFormat="1" applyFont="1" applyBorder="1" applyAlignment="1">
      <alignment vertical="center"/>
    </xf>
    <xf numFmtId="167" fontId="7" fillId="0" borderId="0" xfId="0" applyNumberFormat="1" applyFont="1" applyBorder="1" applyAlignment="1">
      <alignment horizontal="right" vertical="center"/>
    </xf>
  </cellXfs>
  <cellStyles count="2">
    <cellStyle name="Normal" xfId="0" builtinId="0"/>
    <cellStyle name="Normal 2" xfId="1" xr:uid="{7157C795-47AE-4598-8411-DE9DA56094C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1</xdr:row>
      <xdr:rowOff>57150</xdr:rowOff>
    </xdr:from>
    <xdr:to>
      <xdr:col>12</xdr:col>
      <xdr:colOff>230842</xdr:colOff>
      <xdr:row>9</xdr:row>
      <xdr:rowOff>25637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F18F291-D52A-4F87-88B0-AF9CAF34E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19075"/>
          <a:ext cx="11451292" cy="12638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651C0-CECE-4D3D-AD51-60B9F510937D}">
  <sheetPr codeName="Sheet2"/>
  <dimension ref="A1:C248"/>
  <sheetViews>
    <sheetView workbookViewId="0">
      <selection activeCell="I30" sqref="I30"/>
    </sheetView>
  </sheetViews>
  <sheetFormatPr defaultRowHeight="15" x14ac:dyDescent="0.25"/>
  <cols>
    <col min="2" max="2" width="18.7109375" customWidth="1"/>
  </cols>
  <sheetData>
    <row r="1" spans="1:3" x14ac:dyDescent="0.25">
      <c r="A1" s="12" t="s">
        <v>0</v>
      </c>
      <c r="B1" s="13">
        <v>9309.6</v>
      </c>
      <c r="C1" t="s">
        <v>1</v>
      </c>
    </row>
    <row r="2" spans="1:3" x14ac:dyDescent="0.25">
      <c r="A2" s="12" t="s">
        <v>2</v>
      </c>
      <c r="B2" s="13">
        <v>5292.5174388449614</v>
      </c>
      <c r="C2" t="s">
        <v>3</v>
      </c>
    </row>
    <row r="3" spans="1:3" x14ac:dyDescent="0.25">
      <c r="A3" s="12" t="s">
        <v>4</v>
      </c>
      <c r="B3" s="13">
        <v>7573.9</v>
      </c>
      <c r="C3" t="s">
        <v>5</v>
      </c>
    </row>
    <row r="4" spans="1:3" x14ac:dyDescent="0.25">
      <c r="A4" s="12" t="s">
        <v>6</v>
      </c>
      <c r="B4" s="13">
        <v>3105.7000000000003</v>
      </c>
      <c r="C4" t="s">
        <v>7</v>
      </c>
    </row>
    <row r="5" spans="1:3" x14ac:dyDescent="0.25">
      <c r="A5" s="12" t="s">
        <v>8</v>
      </c>
      <c r="B5" s="13">
        <v>8956.56</v>
      </c>
      <c r="C5" t="s">
        <v>9</v>
      </c>
    </row>
    <row r="6" spans="1:3" x14ac:dyDescent="0.25">
      <c r="A6" s="12" t="s">
        <v>10</v>
      </c>
      <c r="B6" s="13">
        <v>3603.2</v>
      </c>
      <c r="C6" t="s">
        <v>11</v>
      </c>
    </row>
    <row r="7" spans="1:3" x14ac:dyDescent="0.25">
      <c r="A7" s="12" t="s">
        <v>12</v>
      </c>
      <c r="B7" s="13">
        <v>8969.9</v>
      </c>
      <c r="C7" t="s">
        <v>13</v>
      </c>
    </row>
    <row r="8" spans="1:3" x14ac:dyDescent="0.25">
      <c r="A8" s="12" t="s">
        <v>14</v>
      </c>
      <c r="B8" s="13">
        <v>7146.9000000000005</v>
      </c>
      <c r="C8" t="s">
        <v>15</v>
      </c>
    </row>
    <row r="9" spans="1:3" x14ac:dyDescent="0.25">
      <c r="A9" s="12" t="s">
        <v>16</v>
      </c>
      <c r="B9" s="13">
        <v>8753.9</v>
      </c>
      <c r="C9" t="s">
        <v>17</v>
      </c>
    </row>
    <row r="10" spans="1:3" x14ac:dyDescent="0.25">
      <c r="A10" s="12" t="s">
        <v>18</v>
      </c>
      <c r="B10" s="13">
        <v>8140.8033344730457</v>
      </c>
      <c r="C10" t="s">
        <v>19</v>
      </c>
    </row>
    <row r="11" spans="1:3" x14ac:dyDescent="0.25">
      <c r="A11" s="12" t="s">
        <v>20</v>
      </c>
      <c r="B11" s="13">
        <v>7864.8504105451921</v>
      </c>
      <c r="C11" t="s">
        <v>21</v>
      </c>
    </row>
    <row r="12" spans="1:3" x14ac:dyDescent="0.25">
      <c r="A12" s="12" t="s">
        <v>22</v>
      </c>
      <c r="B12" s="13">
        <v>6842.0512469638406</v>
      </c>
      <c r="C12" t="s">
        <v>23</v>
      </c>
    </row>
    <row r="13" spans="1:3" x14ac:dyDescent="0.25">
      <c r="A13" s="12" t="s">
        <v>24</v>
      </c>
      <c r="B13" s="13">
        <v>9432.2999999999993</v>
      </c>
      <c r="C13" t="s">
        <v>25</v>
      </c>
    </row>
    <row r="14" spans="1:3" x14ac:dyDescent="0.25">
      <c r="A14" s="12" t="s">
        <v>26</v>
      </c>
      <c r="B14" s="13">
        <v>7988.4</v>
      </c>
      <c r="C14" t="s">
        <v>27</v>
      </c>
    </row>
    <row r="15" spans="1:3" x14ac:dyDescent="0.25">
      <c r="A15" s="12" t="s">
        <v>28</v>
      </c>
      <c r="B15" s="13">
        <v>8713.1</v>
      </c>
      <c r="C15" t="s">
        <v>29</v>
      </c>
    </row>
    <row r="16" spans="1:3" x14ac:dyDescent="0.25">
      <c r="A16" s="12" t="s">
        <v>30</v>
      </c>
      <c r="B16" s="13">
        <v>8745.1999999999989</v>
      </c>
      <c r="C16" t="s">
        <v>31</v>
      </c>
    </row>
    <row r="17" spans="1:3" x14ac:dyDescent="0.25">
      <c r="A17" s="12" t="s">
        <v>32</v>
      </c>
      <c r="B17" s="13">
        <v>8636.1</v>
      </c>
      <c r="C17" t="s">
        <v>33</v>
      </c>
    </row>
    <row r="18" spans="1:3" x14ac:dyDescent="0.25">
      <c r="A18" s="12" t="s">
        <v>34</v>
      </c>
      <c r="B18" s="13">
        <v>6994.3276003161436</v>
      </c>
      <c r="C18" t="s">
        <v>35</v>
      </c>
    </row>
    <row r="19" spans="1:3" x14ac:dyDescent="0.25">
      <c r="A19" s="12" t="s">
        <v>36</v>
      </c>
      <c r="B19" s="13">
        <v>7439.2</v>
      </c>
      <c r="C19" t="s">
        <v>37</v>
      </c>
    </row>
    <row r="20" spans="1:3" x14ac:dyDescent="0.25">
      <c r="A20" s="12" t="s">
        <v>38</v>
      </c>
      <c r="B20" s="13">
        <v>8676.0300000000007</v>
      </c>
      <c r="C20" t="s">
        <v>39</v>
      </c>
    </row>
    <row r="21" spans="1:3" x14ac:dyDescent="0.25">
      <c r="A21" s="12" t="s">
        <v>40</v>
      </c>
      <c r="B21" s="13">
        <v>6940.4</v>
      </c>
      <c r="C21" t="s">
        <v>41</v>
      </c>
    </row>
    <row r="22" spans="1:3" x14ac:dyDescent="0.25">
      <c r="A22" s="12" t="s">
        <v>42</v>
      </c>
      <c r="B22" s="13">
        <v>8479.7000000000007</v>
      </c>
      <c r="C22" t="s">
        <v>43</v>
      </c>
    </row>
    <row r="23" spans="1:3" x14ac:dyDescent="0.25">
      <c r="A23" s="12" t="s">
        <v>44</v>
      </c>
      <c r="B23" s="13">
        <v>8729.7000000000007</v>
      </c>
      <c r="C23" t="s">
        <v>45</v>
      </c>
    </row>
    <row r="24" spans="1:3" x14ac:dyDescent="0.25">
      <c r="A24" s="12" t="s">
        <v>46</v>
      </c>
      <c r="B24" s="13">
        <v>8271.16</v>
      </c>
      <c r="C24" t="s">
        <v>47</v>
      </c>
    </row>
    <row r="25" spans="1:3" x14ac:dyDescent="0.25">
      <c r="A25" s="12" t="s">
        <v>48</v>
      </c>
      <c r="B25" s="13">
        <v>8301.6487074332963</v>
      </c>
      <c r="C25" t="s">
        <v>49</v>
      </c>
    </row>
    <row r="26" spans="1:3" x14ac:dyDescent="0.25">
      <c r="A26" s="12" t="s">
        <v>50</v>
      </c>
      <c r="B26" s="13">
        <v>8526.7999999999993</v>
      </c>
      <c r="C26" t="s">
        <v>51</v>
      </c>
    </row>
    <row r="27" spans="1:3" x14ac:dyDescent="0.25">
      <c r="A27" s="12" t="s">
        <v>52</v>
      </c>
      <c r="B27" s="13">
        <v>4645.0486104337087</v>
      </c>
      <c r="C27" t="s">
        <v>53</v>
      </c>
    </row>
    <row r="28" spans="1:3" x14ac:dyDescent="0.25">
      <c r="A28" s="12" t="s">
        <v>54</v>
      </c>
      <c r="B28">
        <v>8793.8582162691928</v>
      </c>
      <c r="C28" t="s">
        <v>55</v>
      </c>
    </row>
    <row r="29" spans="1:3" x14ac:dyDescent="0.25">
      <c r="A29" s="12" t="s">
        <v>56</v>
      </c>
      <c r="B29" s="13">
        <v>6031.1084574233901</v>
      </c>
      <c r="C29" t="s">
        <v>57</v>
      </c>
    </row>
    <row r="30" spans="1:3" x14ac:dyDescent="0.25">
      <c r="A30" s="12" t="s">
        <v>58</v>
      </c>
      <c r="B30" s="13">
        <v>7744.6136212264373</v>
      </c>
      <c r="C30" t="s">
        <v>59</v>
      </c>
    </row>
    <row r="31" spans="1:3" x14ac:dyDescent="0.25">
      <c r="A31" s="12" t="s">
        <v>60</v>
      </c>
      <c r="B31" s="13">
        <v>6665.2999999999993</v>
      </c>
      <c r="C31" t="s">
        <v>61</v>
      </c>
    </row>
    <row r="32" spans="1:3" x14ac:dyDescent="0.25">
      <c r="A32" s="12" t="s">
        <v>62</v>
      </c>
      <c r="B32" s="13">
        <v>7418.562727657144</v>
      </c>
      <c r="C32" t="s">
        <v>63</v>
      </c>
    </row>
    <row r="33" spans="1:3" x14ac:dyDescent="0.25">
      <c r="A33" s="12" t="s">
        <v>64</v>
      </c>
      <c r="B33" s="13">
        <v>6990.4</v>
      </c>
      <c r="C33" t="s">
        <v>65</v>
      </c>
    </row>
    <row r="34" spans="1:3" x14ac:dyDescent="0.25">
      <c r="A34" s="12" t="s">
        <v>66</v>
      </c>
      <c r="B34" s="13">
        <v>8573.5</v>
      </c>
      <c r="C34" t="s">
        <v>67</v>
      </c>
    </row>
    <row r="35" spans="1:3" x14ac:dyDescent="0.25">
      <c r="A35" s="12" t="s">
        <v>68</v>
      </c>
      <c r="B35" s="13">
        <v>7858.4</v>
      </c>
      <c r="C35" t="s">
        <v>69</v>
      </c>
    </row>
    <row r="36" spans="1:3" x14ac:dyDescent="0.25">
      <c r="A36" s="12" t="s">
        <v>70</v>
      </c>
      <c r="B36" s="13">
        <v>4364.2203756720901</v>
      </c>
      <c r="C36" t="s">
        <v>71</v>
      </c>
    </row>
    <row r="37" spans="1:3" x14ac:dyDescent="0.25">
      <c r="A37" s="12" t="s">
        <v>72</v>
      </c>
      <c r="B37" s="12">
        <v>8692.8530695411901</v>
      </c>
      <c r="C37" t="s">
        <v>73</v>
      </c>
    </row>
    <row r="38" spans="1:3" x14ac:dyDescent="0.25">
      <c r="A38" s="12" t="s">
        <v>74</v>
      </c>
      <c r="B38" s="13">
        <v>9283.2000000000007</v>
      </c>
      <c r="C38" t="s">
        <v>75</v>
      </c>
    </row>
    <row r="39" spans="1:3" x14ac:dyDescent="0.25">
      <c r="A39" s="12" t="s">
        <v>76</v>
      </c>
      <c r="B39" s="13">
        <v>8544.6999999999989</v>
      </c>
      <c r="C39" t="s">
        <v>77</v>
      </c>
    </row>
    <row r="40" spans="1:3" x14ac:dyDescent="0.25">
      <c r="A40" s="12" t="s">
        <v>78</v>
      </c>
      <c r="B40" s="12">
        <v>8590.9124536304735</v>
      </c>
      <c r="C40" t="s">
        <v>79</v>
      </c>
    </row>
    <row r="41" spans="1:3" x14ac:dyDescent="0.25">
      <c r="A41" s="12" t="s">
        <v>80</v>
      </c>
      <c r="B41" s="13">
        <v>9144.0999999999985</v>
      </c>
      <c r="C41" t="s">
        <v>81</v>
      </c>
    </row>
    <row r="42" spans="1:3" x14ac:dyDescent="0.25">
      <c r="A42" s="12" t="s">
        <v>82</v>
      </c>
      <c r="B42" s="13">
        <v>8353.2999999999993</v>
      </c>
      <c r="C42" t="s">
        <v>83</v>
      </c>
    </row>
    <row r="43" spans="1:3" x14ac:dyDescent="0.25">
      <c r="A43" s="12" t="s">
        <v>84</v>
      </c>
      <c r="B43" s="13">
        <v>6519.5999999999995</v>
      </c>
      <c r="C43" t="s">
        <v>85</v>
      </c>
    </row>
    <row r="44" spans="1:3" x14ac:dyDescent="0.25">
      <c r="A44" s="12" t="s">
        <v>86</v>
      </c>
      <c r="B44" s="13">
        <v>7116.0999999999995</v>
      </c>
      <c r="C44" t="s">
        <v>87</v>
      </c>
    </row>
    <row r="45" spans="1:3" x14ac:dyDescent="0.25">
      <c r="A45" s="12" t="s">
        <v>88</v>
      </c>
      <c r="B45" s="13">
        <v>4674.4000000000005</v>
      </c>
      <c r="C45" t="s">
        <v>89</v>
      </c>
    </row>
    <row r="46" spans="1:3" x14ac:dyDescent="0.25">
      <c r="A46" s="12" t="s">
        <v>90</v>
      </c>
      <c r="B46" s="13">
        <v>8623.5</v>
      </c>
      <c r="C46" t="s">
        <v>91</v>
      </c>
    </row>
    <row r="47" spans="1:3" x14ac:dyDescent="0.25">
      <c r="A47" s="12" t="s">
        <v>92</v>
      </c>
      <c r="B47" s="13">
        <v>7876.4</v>
      </c>
      <c r="C47" t="s">
        <v>93</v>
      </c>
    </row>
    <row r="48" spans="1:3" x14ac:dyDescent="0.25">
      <c r="A48" s="12" t="s">
        <v>94</v>
      </c>
      <c r="B48" s="13">
        <v>8455.9</v>
      </c>
      <c r="C48" t="s">
        <v>95</v>
      </c>
    </row>
    <row r="49" spans="1:3" x14ac:dyDescent="0.25">
      <c r="A49" s="12" t="s">
        <v>96</v>
      </c>
      <c r="B49" s="13">
        <v>8189.7</v>
      </c>
      <c r="C49" t="s">
        <v>97</v>
      </c>
    </row>
    <row r="50" spans="1:3" x14ac:dyDescent="0.25">
      <c r="A50" s="12" t="s">
        <v>98</v>
      </c>
      <c r="B50" s="13">
        <v>8688.0369206816977</v>
      </c>
      <c r="C50" t="s">
        <v>99</v>
      </c>
    </row>
    <row r="51" spans="1:3" x14ac:dyDescent="0.25">
      <c r="A51" s="12" t="s">
        <v>100</v>
      </c>
      <c r="B51" s="13">
        <v>7995</v>
      </c>
      <c r="C51" t="s">
        <v>101</v>
      </c>
    </row>
    <row r="52" spans="1:3" x14ac:dyDescent="0.25">
      <c r="A52" s="12" t="s">
        <v>102</v>
      </c>
      <c r="B52" s="13">
        <v>8788.1</v>
      </c>
      <c r="C52" t="s">
        <v>103</v>
      </c>
    </row>
    <row r="53" spans="1:3" x14ac:dyDescent="0.25">
      <c r="A53" s="12" t="s">
        <v>104</v>
      </c>
      <c r="B53" s="13">
        <v>5994.9881898732656</v>
      </c>
      <c r="C53" t="s">
        <v>105</v>
      </c>
    </row>
    <row r="54" spans="1:3" x14ac:dyDescent="0.25">
      <c r="A54" s="12" t="s">
        <v>106</v>
      </c>
      <c r="B54" s="13">
        <v>9623.3000000000011</v>
      </c>
      <c r="C54" t="s">
        <v>107</v>
      </c>
    </row>
    <row r="55" spans="1:3" x14ac:dyDescent="0.25">
      <c r="A55" s="12" t="s">
        <v>108</v>
      </c>
      <c r="B55" s="13">
        <v>8756.1</v>
      </c>
      <c r="C55" t="s">
        <v>109</v>
      </c>
    </row>
    <row r="56" spans="1:3" x14ac:dyDescent="0.25">
      <c r="A56" s="12" t="s">
        <v>110</v>
      </c>
      <c r="B56" s="13">
        <v>8322.0015412346856</v>
      </c>
      <c r="C56" t="s">
        <v>111</v>
      </c>
    </row>
    <row r="57" spans="1:3" x14ac:dyDescent="0.25">
      <c r="A57" s="12" t="s">
        <v>112</v>
      </c>
      <c r="B57" s="13">
        <v>5601.7</v>
      </c>
      <c r="C57" t="s">
        <v>113</v>
      </c>
    </row>
    <row r="58" spans="1:3" x14ac:dyDescent="0.25">
      <c r="A58" s="12" t="s">
        <v>114</v>
      </c>
      <c r="B58" s="13">
        <v>7929.7574878735313</v>
      </c>
      <c r="C58" t="s">
        <v>115</v>
      </c>
    </row>
    <row r="59" spans="1:3" x14ac:dyDescent="0.25">
      <c r="A59" s="12" t="s">
        <v>116</v>
      </c>
      <c r="B59" s="13">
        <v>7874.4000000000005</v>
      </c>
      <c r="C59" t="s">
        <v>117</v>
      </c>
    </row>
    <row r="60" spans="1:3" x14ac:dyDescent="0.25">
      <c r="A60" s="12" t="s">
        <v>118</v>
      </c>
      <c r="B60" s="13">
        <v>8782</v>
      </c>
      <c r="C60" t="s">
        <v>119</v>
      </c>
    </row>
    <row r="61" spans="1:3" x14ac:dyDescent="0.25">
      <c r="A61" s="12" t="s">
        <v>120</v>
      </c>
      <c r="B61" s="13">
        <v>8033.6771747164103</v>
      </c>
      <c r="C61" t="s">
        <v>121</v>
      </c>
    </row>
    <row r="62" spans="1:3" x14ac:dyDescent="0.25">
      <c r="A62" s="12" t="s">
        <v>122</v>
      </c>
      <c r="B62" s="13">
        <v>7403.0204323363932</v>
      </c>
      <c r="C62" t="s">
        <v>123</v>
      </c>
    </row>
    <row r="63" spans="1:3" x14ac:dyDescent="0.25">
      <c r="A63" t="s">
        <v>124</v>
      </c>
      <c r="B63" s="13">
        <v>1.07416E-4</v>
      </c>
      <c r="C63" s="12" t="s">
        <v>125</v>
      </c>
    </row>
    <row r="64" spans="1:3" x14ac:dyDescent="0.25">
      <c r="A64" t="s">
        <v>126</v>
      </c>
      <c r="B64" s="13">
        <v>1.88946E-4</v>
      </c>
      <c r="C64" s="12" t="s">
        <v>127</v>
      </c>
    </row>
    <row r="65" spans="1:3" x14ac:dyDescent="0.25">
      <c r="A65" t="s">
        <v>128</v>
      </c>
      <c r="B65" s="13">
        <v>1.32032E-4</v>
      </c>
      <c r="C65" s="12" t="s">
        <v>129</v>
      </c>
    </row>
    <row r="66" spans="1:3" x14ac:dyDescent="0.25">
      <c r="A66" t="s">
        <v>130</v>
      </c>
      <c r="B66" s="13">
        <v>3.2198699999999998E-4</v>
      </c>
      <c r="C66" s="12" t="s">
        <v>131</v>
      </c>
    </row>
    <row r="67" spans="1:3" x14ac:dyDescent="0.25">
      <c r="A67" t="s">
        <v>132</v>
      </c>
      <c r="B67" s="13">
        <v>1.116503E-4</v>
      </c>
      <c r="C67" s="12" t="s">
        <v>133</v>
      </c>
    </row>
    <row r="68" spans="1:3" x14ac:dyDescent="0.25">
      <c r="A68" t="s">
        <v>134</v>
      </c>
      <c r="B68" s="13">
        <v>2.7753000000000001E-4</v>
      </c>
      <c r="C68" s="12" t="s">
        <v>135</v>
      </c>
    </row>
    <row r="69" spans="1:3" x14ac:dyDescent="0.25">
      <c r="A69" t="s">
        <v>136</v>
      </c>
      <c r="B69" s="13">
        <v>1.1148400000000001E-4</v>
      </c>
      <c r="C69" s="12" t="s">
        <v>137</v>
      </c>
    </row>
    <row r="70" spans="1:3" x14ac:dyDescent="0.25">
      <c r="A70" t="s">
        <v>138</v>
      </c>
      <c r="B70" s="13">
        <v>1.3992E-4</v>
      </c>
      <c r="C70" s="12" t="s">
        <v>139</v>
      </c>
    </row>
    <row r="71" spans="1:3" x14ac:dyDescent="0.25">
      <c r="A71" t="s">
        <v>140</v>
      </c>
      <c r="B71" s="13">
        <v>1.1423499999999999E-4</v>
      </c>
      <c r="C71" s="12" t="s">
        <v>141</v>
      </c>
    </row>
    <row r="72" spans="1:3" x14ac:dyDescent="0.25">
      <c r="A72" t="s">
        <v>142</v>
      </c>
      <c r="B72" s="13">
        <v>1.2283800000000001E-4</v>
      </c>
      <c r="C72" s="12" t="s">
        <v>143</v>
      </c>
    </row>
    <row r="73" spans="1:3" x14ac:dyDescent="0.25">
      <c r="A73" t="s">
        <v>144</v>
      </c>
      <c r="B73" s="13">
        <v>1.27148E-4</v>
      </c>
      <c r="C73" s="12" t="s">
        <v>145</v>
      </c>
    </row>
    <row r="74" spans="1:3" x14ac:dyDescent="0.25">
      <c r="A74" t="s">
        <v>146</v>
      </c>
      <c r="B74" s="13">
        <v>1.46155E-4</v>
      </c>
      <c r="C74" s="12" t="s">
        <v>147</v>
      </c>
    </row>
    <row r="75" spans="1:3" x14ac:dyDescent="0.25">
      <c r="A75" t="s">
        <v>148</v>
      </c>
      <c r="B75" s="13">
        <v>1.06019E-4</v>
      </c>
      <c r="C75" s="12" t="s">
        <v>149</v>
      </c>
    </row>
    <row r="76" spans="1:3" x14ac:dyDescent="0.25">
      <c r="A76" t="s">
        <v>150</v>
      </c>
      <c r="B76" s="13">
        <v>1.2518100000000001E-4</v>
      </c>
      <c r="C76" s="12" t="s">
        <v>151</v>
      </c>
    </row>
    <row r="77" spans="1:3" x14ac:dyDescent="0.25">
      <c r="A77" t="s">
        <v>152</v>
      </c>
      <c r="B77" s="13">
        <v>1.1477E-4</v>
      </c>
      <c r="C77" s="12" t="s">
        <v>153</v>
      </c>
    </row>
    <row r="78" spans="1:3" x14ac:dyDescent="0.25">
      <c r="A78" t="s">
        <v>154</v>
      </c>
      <c r="B78" s="13">
        <v>1.1434899999999999E-4</v>
      </c>
      <c r="C78" s="12" t="s">
        <v>155</v>
      </c>
    </row>
    <row r="79" spans="1:3" x14ac:dyDescent="0.25">
      <c r="A79" t="s">
        <v>156</v>
      </c>
      <c r="B79" s="13">
        <v>1.1579299999999999E-4</v>
      </c>
      <c r="C79" s="12" t="s">
        <v>157</v>
      </c>
    </row>
    <row r="80" spans="1:3" x14ac:dyDescent="0.25">
      <c r="A80" t="s">
        <v>158</v>
      </c>
      <c r="B80" s="13">
        <v>1.4297299999999999E-4</v>
      </c>
      <c r="C80" s="12" t="s">
        <v>159</v>
      </c>
    </row>
    <row r="81" spans="1:3" x14ac:dyDescent="0.25">
      <c r="A81" t="s">
        <v>160</v>
      </c>
      <c r="B81" s="13">
        <v>1.34423E-4</v>
      </c>
      <c r="C81" s="12" t="s">
        <v>161</v>
      </c>
    </row>
    <row r="82" spans="1:3" x14ac:dyDescent="0.25">
      <c r="A82" t="s">
        <v>162</v>
      </c>
      <c r="B82" s="13">
        <v>1.1526039999999999E-4</v>
      </c>
      <c r="C82" s="12" t="s">
        <v>163</v>
      </c>
    </row>
    <row r="83" spans="1:3" x14ac:dyDescent="0.25">
      <c r="A83" t="s">
        <v>164</v>
      </c>
      <c r="B83" s="13">
        <v>1.4408300000000001E-4</v>
      </c>
      <c r="C83" s="12" t="s">
        <v>165</v>
      </c>
    </row>
    <row r="84" spans="1:3" x14ac:dyDescent="0.25">
      <c r="A84" t="s">
        <v>166</v>
      </c>
      <c r="B84" s="13">
        <v>1.1792899999999999E-4</v>
      </c>
      <c r="C84" s="12" t="s">
        <v>167</v>
      </c>
    </row>
    <row r="85" spans="1:3" x14ac:dyDescent="0.25">
      <c r="A85" t="s">
        <v>168</v>
      </c>
      <c r="B85" s="13">
        <v>1.1455100000000001E-4</v>
      </c>
      <c r="C85" s="12" t="s">
        <v>169</v>
      </c>
    </row>
    <row r="86" spans="1:3" x14ac:dyDescent="0.25">
      <c r="A86" t="s">
        <v>170</v>
      </c>
      <c r="B86" s="13">
        <v>1.20902E-4</v>
      </c>
      <c r="C86" s="12" t="s">
        <v>171</v>
      </c>
    </row>
    <row r="87" spans="1:3" x14ac:dyDescent="0.25">
      <c r="A87" t="s">
        <v>172</v>
      </c>
      <c r="B87" s="13">
        <v>1.20458E-4</v>
      </c>
      <c r="C87" s="12" t="s">
        <v>173</v>
      </c>
    </row>
    <row r="88" spans="1:3" x14ac:dyDescent="0.25">
      <c r="A88" t="s">
        <v>174</v>
      </c>
      <c r="B88" s="13">
        <v>1.1727700000000001E-4</v>
      </c>
      <c r="C88" s="12" t="s">
        <v>175</v>
      </c>
    </row>
    <row r="89" spans="1:3" x14ac:dyDescent="0.25">
      <c r="A89" t="s">
        <v>176</v>
      </c>
      <c r="B89" s="13">
        <v>2.1528299999999998E-4</v>
      </c>
      <c r="C89" s="12" t="s">
        <v>177</v>
      </c>
    </row>
    <row r="90" spans="1:3" x14ac:dyDescent="0.25">
      <c r="A90" t="s">
        <v>178</v>
      </c>
      <c r="B90" s="13">
        <v>1.1371572925180176E-4</v>
      </c>
      <c r="C90" s="12" t="s">
        <v>179</v>
      </c>
    </row>
    <row r="91" spans="1:3" x14ac:dyDescent="0.25">
      <c r="A91" t="s">
        <v>180</v>
      </c>
      <c r="B91" s="13">
        <v>1.6580699999999999E-4</v>
      </c>
      <c r="C91" s="12" t="s">
        <v>181</v>
      </c>
    </row>
    <row r="92" spans="1:3" x14ac:dyDescent="0.25">
      <c r="A92" t="s">
        <v>182</v>
      </c>
      <c r="B92" s="13">
        <v>1.2912200000000001E-4</v>
      </c>
      <c r="C92" s="12" t="s">
        <v>183</v>
      </c>
    </row>
    <row r="93" spans="1:3" x14ac:dyDescent="0.25">
      <c r="A93" t="s">
        <v>184</v>
      </c>
      <c r="B93" s="13">
        <v>1.5003100000000001E-4</v>
      </c>
      <c r="C93" s="12" t="s">
        <v>185</v>
      </c>
    </row>
    <row r="94" spans="1:3" x14ac:dyDescent="0.25">
      <c r="A94" t="s">
        <v>186</v>
      </c>
      <c r="B94" s="13">
        <v>1.3479699999999998E-4</v>
      </c>
      <c r="C94" s="12" t="s">
        <v>187</v>
      </c>
    </row>
    <row r="95" spans="1:3" x14ac:dyDescent="0.25">
      <c r="A95" t="s">
        <v>188</v>
      </c>
      <c r="B95" s="13">
        <v>1.43053E-4</v>
      </c>
      <c r="C95" s="12" t="s">
        <v>189</v>
      </c>
    </row>
    <row r="96" spans="1:3" x14ac:dyDescent="0.25">
      <c r="A96" t="s">
        <v>190</v>
      </c>
      <c r="B96" s="13">
        <v>1.1663900000000001E-4</v>
      </c>
      <c r="C96" s="12" t="s">
        <v>191</v>
      </c>
    </row>
    <row r="97" spans="1:3" x14ac:dyDescent="0.25">
      <c r="A97" t="s">
        <v>192</v>
      </c>
      <c r="B97" s="13">
        <v>1.2725400000000001E-4</v>
      </c>
      <c r="C97" s="12" t="s">
        <v>193</v>
      </c>
    </row>
    <row r="98" spans="1:3" x14ac:dyDescent="0.25">
      <c r="A98" t="s">
        <v>194</v>
      </c>
      <c r="B98" s="13">
        <v>2.2913600000000001E-4</v>
      </c>
      <c r="C98" s="12" t="s">
        <v>195</v>
      </c>
    </row>
    <row r="99" spans="1:3" x14ac:dyDescent="0.25">
      <c r="A99" t="s">
        <v>196</v>
      </c>
      <c r="B99" s="12">
        <v>1.1503703007518798E-4</v>
      </c>
      <c r="C99" s="12" t="s">
        <v>197</v>
      </c>
    </row>
    <row r="100" spans="1:3" x14ac:dyDescent="0.25">
      <c r="A100" t="s">
        <v>198</v>
      </c>
      <c r="B100" s="13">
        <v>1.0771999999999999E-4</v>
      </c>
      <c r="C100" s="12" t="s">
        <v>199</v>
      </c>
    </row>
    <row r="101" spans="1:3" x14ac:dyDescent="0.25">
      <c r="A101" t="s">
        <v>200</v>
      </c>
      <c r="B101" s="13">
        <v>1.17032E-4</v>
      </c>
      <c r="C101" s="12" t="s">
        <v>201</v>
      </c>
    </row>
    <row r="102" spans="1:3" x14ac:dyDescent="0.25">
      <c r="A102" t="s">
        <v>202</v>
      </c>
      <c r="B102" s="12">
        <v>1.164020708390999E-4</v>
      </c>
      <c r="C102" s="12" t="s">
        <v>203</v>
      </c>
    </row>
    <row r="103" spans="1:3" x14ac:dyDescent="0.25">
      <c r="A103" t="s">
        <v>204</v>
      </c>
      <c r="B103" s="13">
        <v>1.0936E-4</v>
      </c>
      <c r="C103" s="12" t="s">
        <v>205</v>
      </c>
    </row>
    <row r="104" spans="1:3" x14ac:dyDescent="0.25">
      <c r="A104" t="s">
        <v>206</v>
      </c>
      <c r="B104" s="13">
        <v>1.19713E-4</v>
      </c>
      <c r="C104" s="12" t="s">
        <v>207</v>
      </c>
    </row>
    <row r="105" spans="1:3" x14ac:dyDescent="0.25">
      <c r="A105" t="s">
        <v>208</v>
      </c>
      <c r="B105" s="13">
        <v>1.5338400000000001E-4</v>
      </c>
      <c r="C105" s="12" t="s">
        <v>209</v>
      </c>
    </row>
    <row r="106" spans="1:3" x14ac:dyDescent="0.25">
      <c r="A106" t="s">
        <v>210</v>
      </c>
      <c r="B106" s="13">
        <v>1.4052699999999999E-4</v>
      </c>
      <c r="C106" s="12" t="s">
        <v>211</v>
      </c>
    </row>
    <row r="107" spans="1:3" x14ac:dyDescent="0.25">
      <c r="A107" t="s">
        <v>212</v>
      </c>
      <c r="B107" s="13">
        <v>2.1393200000000001E-4</v>
      </c>
      <c r="C107" s="12" t="s">
        <v>213</v>
      </c>
    </row>
    <row r="108" spans="1:3" x14ac:dyDescent="0.25">
      <c r="A108" t="s">
        <v>214</v>
      </c>
      <c r="B108" s="13">
        <v>1.1596200000000001E-4</v>
      </c>
      <c r="C108" s="12" t="s">
        <v>215</v>
      </c>
    </row>
    <row r="109" spans="1:3" x14ac:dyDescent="0.25">
      <c r="A109" t="s">
        <v>216</v>
      </c>
      <c r="B109" s="13">
        <v>1.2696099999999998E-4</v>
      </c>
      <c r="C109" s="12" t="s">
        <v>217</v>
      </c>
    </row>
    <row r="110" spans="1:3" x14ac:dyDescent="0.25">
      <c r="A110" t="s">
        <v>218</v>
      </c>
      <c r="B110" s="13">
        <v>1.1826000000000001E-4</v>
      </c>
      <c r="C110" s="12" t="s">
        <v>219</v>
      </c>
    </row>
    <row r="111" spans="1:3" x14ac:dyDescent="0.25">
      <c r="A111" t="s">
        <v>220</v>
      </c>
      <c r="B111" s="13">
        <v>1.2210499999999998E-4</v>
      </c>
      <c r="C111" s="12" t="s">
        <v>221</v>
      </c>
    </row>
    <row r="112" spans="1:3" x14ac:dyDescent="0.25">
      <c r="A112" t="s">
        <v>222</v>
      </c>
      <c r="B112" s="13">
        <v>1.1510080000000001E-4</v>
      </c>
      <c r="C112" s="12" t="s">
        <v>223</v>
      </c>
    </row>
    <row r="113" spans="1:3" x14ac:dyDescent="0.25">
      <c r="A113" t="s">
        <v>224</v>
      </c>
      <c r="B113" s="13">
        <v>1.2507800000000001E-4</v>
      </c>
      <c r="C113" s="12" t="s">
        <v>225</v>
      </c>
    </row>
    <row r="114" spans="1:3" x14ac:dyDescent="0.25">
      <c r="A114" t="s">
        <v>226</v>
      </c>
      <c r="B114" s="13">
        <v>1.1378999999999999E-4</v>
      </c>
      <c r="C114" s="12" t="s">
        <v>227</v>
      </c>
    </row>
    <row r="115" spans="1:3" x14ac:dyDescent="0.25">
      <c r="A115" t="s">
        <v>228</v>
      </c>
      <c r="B115" s="13">
        <v>1.66806E-4</v>
      </c>
      <c r="C115" s="12" t="s">
        <v>229</v>
      </c>
    </row>
    <row r="116" spans="1:3" x14ac:dyDescent="0.25">
      <c r="A116" t="s">
        <v>230</v>
      </c>
      <c r="B116" s="13">
        <v>1.0391399999999999E-4</v>
      </c>
      <c r="C116" s="12" t="s">
        <v>231</v>
      </c>
    </row>
    <row r="117" spans="1:3" x14ac:dyDescent="0.25">
      <c r="A117" t="s">
        <v>232</v>
      </c>
      <c r="B117" s="13">
        <v>1.1420600000000001E-4</v>
      </c>
      <c r="C117" s="12" t="s">
        <v>233</v>
      </c>
    </row>
    <row r="118" spans="1:3" x14ac:dyDescent="0.25">
      <c r="A118" t="s">
        <v>234</v>
      </c>
      <c r="B118" s="13">
        <v>1.2016340000000001E-4</v>
      </c>
      <c r="C118" s="12" t="s">
        <v>235</v>
      </c>
    </row>
    <row r="119" spans="1:3" x14ac:dyDescent="0.25">
      <c r="A119" t="s">
        <v>236</v>
      </c>
      <c r="B119" s="13">
        <v>1.7851799999999999E-4</v>
      </c>
      <c r="C119" s="12" t="s">
        <v>237</v>
      </c>
    </row>
    <row r="120" spans="1:3" x14ac:dyDescent="0.25">
      <c r="A120" t="s">
        <v>238</v>
      </c>
      <c r="B120" s="13">
        <v>1.2610726135436497E-4</v>
      </c>
      <c r="C120" s="12" t="s">
        <v>239</v>
      </c>
    </row>
    <row r="121" spans="1:3" x14ac:dyDescent="0.25">
      <c r="A121" t="s">
        <v>240</v>
      </c>
      <c r="B121" s="13">
        <v>1.2699400000000001E-4</v>
      </c>
      <c r="C121" s="12" t="s">
        <v>241</v>
      </c>
    </row>
    <row r="122" spans="1:3" x14ac:dyDescent="0.25">
      <c r="A122" t="s">
        <v>242</v>
      </c>
      <c r="B122" s="13">
        <v>1.13869E-4</v>
      </c>
      <c r="C122" s="12" t="s">
        <v>243</v>
      </c>
    </row>
    <row r="123" spans="1:3" x14ac:dyDescent="0.25">
      <c r="A123" t="s">
        <v>244</v>
      </c>
      <c r="B123" s="13">
        <v>1.2447600000000002E-4</v>
      </c>
      <c r="C123" s="12" t="s">
        <v>245</v>
      </c>
    </row>
    <row r="124" spans="1:3" x14ac:dyDescent="0.25">
      <c r="A124" t="s">
        <v>246</v>
      </c>
      <c r="B124" s="13">
        <v>1.3507999999999999E-4</v>
      </c>
      <c r="C124" s="12" t="s">
        <v>247</v>
      </c>
    </row>
    <row r="125" spans="1:3" x14ac:dyDescent="0.25">
      <c r="A125" s="12" t="s">
        <v>125</v>
      </c>
      <c r="B125" s="13">
        <v>9309.6</v>
      </c>
      <c r="C125" t="s">
        <v>1</v>
      </c>
    </row>
    <row r="126" spans="1:3" x14ac:dyDescent="0.25">
      <c r="A126" s="12" t="s">
        <v>127</v>
      </c>
      <c r="B126" s="13">
        <v>5292.5174388449614</v>
      </c>
      <c r="C126" t="s">
        <v>3</v>
      </c>
    </row>
    <row r="127" spans="1:3" x14ac:dyDescent="0.25">
      <c r="A127" s="12" t="s">
        <v>129</v>
      </c>
      <c r="B127" s="13">
        <v>7573.9</v>
      </c>
      <c r="C127" t="s">
        <v>5</v>
      </c>
    </row>
    <row r="128" spans="1:3" x14ac:dyDescent="0.25">
      <c r="A128" s="12" t="s">
        <v>131</v>
      </c>
      <c r="B128" s="13">
        <v>3105.7000000000003</v>
      </c>
      <c r="C128" t="s">
        <v>7</v>
      </c>
    </row>
    <row r="129" spans="1:3" x14ac:dyDescent="0.25">
      <c r="A129" s="12" t="s">
        <v>133</v>
      </c>
      <c r="B129" s="13">
        <v>8956.56</v>
      </c>
      <c r="C129" t="s">
        <v>9</v>
      </c>
    </row>
    <row r="130" spans="1:3" x14ac:dyDescent="0.25">
      <c r="A130" s="12" t="s">
        <v>135</v>
      </c>
      <c r="B130" s="13">
        <v>3603.2</v>
      </c>
      <c r="C130" t="s">
        <v>11</v>
      </c>
    </row>
    <row r="131" spans="1:3" x14ac:dyDescent="0.25">
      <c r="A131" s="12" t="s">
        <v>137</v>
      </c>
      <c r="B131" s="13">
        <v>8969.9</v>
      </c>
      <c r="C131" t="s">
        <v>13</v>
      </c>
    </row>
    <row r="132" spans="1:3" x14ac:dyDescent="0.25">
      <c r="A132" s="12" t="s">
        <v>139</v>
      </c>
      <c r="B132" s="13">
        <v>7146.9000000000005</v>
      </c>
      <c r="C132" t="s">
        <v>15</v>
      </c>
    </row>
    <row r="133" spans="1:3" x14ac:dyDescent="0.25">
      <c r="A133" s="12" t="s">
        <v>141</v>
      </c>
      <c r="B133" s="13">
        <v>8753.9</v>
      </c>
      <c r="C133" t="s">
        <v>17</v>
      </c>
    </row>
    <row r="134" spans="1:3" x14ac:dyDescent="0.25">
      <c r="A134" s="12" t="s">
        <v>143</v>
      </c>
      <c r="B134" s="13">
        <v>8140.8033344730457</v>
      </c>
      <c r="C134" t="s">
        <v>19</v>
      </c>
    </row>
    <row r="135" spans="1:3" x14ac:dyDescent="0.25">
      <c r="A135" s="12" t="s">
        <v>145</v>
      </c>
      <c r="B135" s="13">
        <v>7864.8504105451921</v>
      </c>
      <c r="C135" t="s">
        <v>21</v>
      </c>
    </row>
    <row r="136" spans="1:3" x14ac:dyDescent="0.25">
      <c r="A136" s="12" t="s">
        <v>147</v>
      </c>
      <c r="B136" s="13">
        <v>6842.0512469638406</v>
      </c>
      <c r="C136" t="s">
        <v>23</v>
      </c>
    </row>
    <row r="137" spans="1:3" x14ac:dyDescent="0.25">
      <c r="A137" s="12" t="s">
        <v>149</v>
      </c>
      <c r="B137" s="13">
        <v>9432.2999999999993</v>
      </c>
      <c r="C137" t="s">
        <v>25</v>
      </c>
    </row>
    <row r="138" spans="1:3" x14ac:dyDescent="0.25">
      <c r="A138" s="12" t="s">
        <v>151</v>
      </c>
      <c r="B138" s="13">
        <v>7988.4</v>
      </c>
      <c r="C138" t="s">
        <v>27</v>
      </c>
    </row>
    <row r="139" spans="1:3" x14ac:dyDescent="0.25">
      <c r="A139" s="12" t="s">
        <v>153</v>
      </c>
      <c r="B139" s="13">
        <v>8713.1</v>
      </c>
      <c r="C139" t="s">
        <v>29</v>
      </c>
    </row>
    <row r="140" spans="1:3" x14ac:dyDescent="0.25">
      <c r="A140" s="12" t="s">
        <v>155</v>
      </c>
      <c r="B140" s="13">
        <v>8745.1999999999989</v>
      </c>
      <c r="C140" t="s">
        <v>31</v>
      </c>
    </row>
    <row r="141" spans="1:3" x14ac:dyDescent="0.25">
      <c r="A141" s="12" t="s">
        <v>157</v>
      </c>
      <c r="B141" s="13">
        <v>8636.1</v>
      </c>
      <c r="C141" t="s">
        <v>33</v>
      </c>
    </row>
    <row r="142" spans="1:3" x14ac:dyDescent="0.25">
      <c r="A142" s="12" t="s">
        <v>159</v>
      </c>
      <c r="B142" s="13">
        <v>6994.3276003161436</v>
      </c>
      <c r="C142" t="s">
        <v>35</v>
      </c>
    </row>
    <row r="143" spans="1:3" x14ac:dyDescent="0.25">
      <c r="A143" s="12" t="s">
        <v>161</v>
      </c>
      <c r="B143" s="13">
        <v>7439.2</v>
      </c>
      <c r="C143" t="s">
        <v>37</v>
      </c>
    </row>
    <row r="144" spans="1:3" x14ac:dyDescent="0.25">
      <c r="A144" s="12" t="s">
        <v>163</v>
      </c>
      <c r="B144" s="13">
        <v>8676.0300000000007</v>
      </c>
      <c r="C144" t="s">
        <v>39</v>
      </c>
    </row>
    <row r="145" spans="1:3" x14ac:dyDescent="0.25">
      <c r="A145" s="12" t="s">
        <v>165</v>
      </c>
      <c r="B145" s="13">
        <v>6940.4</v>
      </c>
      <c r="C145" t="s">
        <v>41</v>
      </c>
    </row>
    <row r="146" spans="1:3" x14ac:dyDescent="0.25">
      <c r="A146" s="12" t="s">
        <v>167</v>
      </c>
      <c r="B146" s="13">
        <v>8479.7000000000007</v>
      </c>
      <c r="C146" t="s">
        <v>43</v>
      </c>
    </row>
    <row r="147" spans="1:3" x14ac:dyDescent="0.25">
      <c r="A147" s="12" t="s">
        <v>169</v>
      </c>
      <c r="B147" s="13">
        <v>8729.7000000000007</v>
      </c>
      <c r="C147" t="s">
        <v>45</v>
      </c>
    </row>
    <row r="148" spans="1:3" x14ac:dyDescent="0.25">
      <c r="A148" s="12" t="s">
        <v>171</v>
      </c>
      <c r="B148" s="13">
        <v>8271.16</v>
      </c>
      <c r="C148" t="s">
        <v>47</v>
      </c>
    </row>
    <row r="149" spans="1:3" x14ac:dyDescent="0.25">
      <c r="A149" s="12" t="s">
        <v>173</v>
      </c>
      <c r="B149" s="13">
        <v>8301.6487074332963</v>
      </c>
      <c r="C149" t="s">
        <v>49</v>
      </c>
    </row>
    <row r="150" spans="1:3" x14ac:dyDescent="0.25">
      <c r="A150" s="12" t="s">
        <v>175</v>
      </c>
      <c r="B150" s="13">
        <v>8526.7999999999993</v>
      </c>
      <c r="C150" t="s">
        <v>51</v>
      </c>
    </row>
    <row r="151" spans="1:3" x14ac:dyDescent="0.25">
      <c r="A151" s="12" t="s">
        <v>177</v>
      </c>
      <c r="B151" s="13">
        <v>4645.0486104337087</v>
      </c>
      <c r="C151" t="s">
        <v>53</v>
      </c>
    </row>
    <row r="152" spans="1:3" x14ac:dyDescent="0.25">
      <c r="A152" s="12" t="s">
        <v>179</v>
      </c>
      <c r="B152">
        <v>8793.8582162691928</v>
      </c>
      <c r="C152" t="s">
        <v>55</v>
      </c>
    </row>
    <row r="153" spans="1:3" x14ac:dyDescent="0.25">
      <c r="A153" s="12" t="s">
        <v>181</v>
      </c>
      <c r="B153" s="13">
        <v>6031.1084574233901</v>
      </c>
      <c r="C153" t="s">
        <v>57</v>
      </c>
    </row>
    <row r="154" spans="1:3" x14ac:dyDescent="0.25">
      <c r="A154" s="12" t="s">
        <v>183</v>
      </c>
      <c r="B154" s="13">
        <v>7744.6136212264373</v>
      </c>
      <c r="C154" t="s">
        <v>59</v>
      </c>
    </row>
    <row r="155" spans="1:3" x14ac:dyDescent="0.25">
      <c r="A155" s="12" t="s">
        <v>185</v>
      </c>
      <c r="B155" s="13">
        <v>6665.2999999999993</v>
      </c>
      <c r="C155" t="s">
        <v>61</v>
      </c>
    </row>
    <row r="156" spans="1:3" x14ac:dyDescent="0.25">
      <c r="A156" s="12" t="s">
        <v>187</v>
      </c>
      <c r="B156" s="13">
        <v>7418.562727657144</v>
      </c>
      <c r="C156" t="s">
        <v>63</v>
      </c>
    </row>
    <row r="157" spans="1:3" x14ac:dyDescent="0.25">
      <c r="A157" s="12" t="s">
        <v>189</v>
      </c>
      <c r="B157" s="13">
        <v>6990.4</v>
      </c>
      <c r="C157" t="s">
        <v>65</v>
      </c>
    </row>
    <row r="158" spans="1:3" x14ac:dyDescent="0.25">
      <c r="A158" s="12" t="s">
        <v>191</v>
      </c>
      <c r="B158" s="13">
        <v>8573.5</v>
      </c>
      <c r="C158" t="s">
        <v>67</v>
      </c>
    </row>
    <row r="159" spans="1:3" x14ac:dyDescent="0.25">
      <c r="A159" s="12" t="s">
        <v>193</v>
      </c>
      <c r="B159" s="13">
        <v>7858.4</v>
      </c>
      <c r="C159" t="s">
        <v>69</v>
      </c>
    </row>
    <row r="160" spans="1:3" x14ac:dyDescent="0.25">
      <c r="A160" s="12" t="s">
        <v>195</v>
      </c>
      <c r="B160" s="13">
        <v>4364.2203756720901</v>
      </c>
      <c r="C160" t="s">
        <v>71</v>
      </c>
    </row>
    <row r="161" spans="1:3" x14ac:dyDescent="0.25">
      <c r="A161" s="12" t="s">
        <v>197</v>
      </c>
      <c r="B161" s="12">
        <v>8692.8530695411901</v>
      </c>
      <c r="C161" t="s">
        <v>73</v>
      </c>
    </row>
    <row r="162" spans="1:3" x14ac:dyDescent="0.25">
      <c r="A162" s="12" t="s">
        <v>199</v>
      </c>
      <c r="B162" s="13">
        <v>9283.2000000000007</v>
      </c>
      <c r="C162" t="s">
        <v>75</v>
      </c>
    </row>
    <row r="163" spans="1:3" x14ac:dyDescent="0.25">
      <c r="A163" s="12" t="s">
        <v>201</v>
      </c>
      <c r="B163" s="13">
        <v>8544.6999999999989</v>
      </c>
      <c r="C163" t="s">
        <v>77</v>
      </c>
    </row>
    <row r="164" spans="1:3" x14ac:dyDescent="0.25">
      <c r="A164" s="12" t="s">
        <v>203</v>
      </c>
      <c r="B164" s="12">
        <v>8590.9124536304735</v>
      </c>
      <c r="C164" t="s">
        <v>79</v>
      </c>
    </row>
    <row r="165" spans="1:3" x14ac:dyDescent="0.25">
      <c r="A165" s="12" t="s">
        <v>205</v>
      </c>
      <c r="B165" s="13">
        <v>9144.0999999999985</v>
      </c>
      <c r="C165" t="s">
        <v>81</v>
      </c>
    </row>
    <row r="166" spans="1:3" x14ac:dyDescent="0.25">
      <c r="A166" s="12" t="s">
        <v>207</v>
      </c>
      <c r="B166" s="13">
        <v>8353.2999999999993</v>
      </c>
      <c r="C166" t="s">
        <v>83</v>
      </c>
    </row>
    <row r="167" spans="1:3" x14ac:dyDescent="0.25">
      <c r="A167" s="12" t="s">
        <v>209</v>
      </c>
      <c r="B167" s="13">
        <v>6519.5999999999995</v>
      </c>
      <c r="C167" t="s">
        <v>85</v>
      </c>
    </row>
    <row r="168" spans="1:3" x14ac:dyDescent="0.25">
      <c r="A168" s="12" t="s">
        <v>211</v>
      </c>
      <c r="B168" s="13">
        <v>7116.0999999999995</v>
      </c>
      <c r="C168" t="s">
        <v>87</v>
      </c>
    </row>
    <row r="169" spans="1:3" x14ac:dyDescent="0.25">
      <c r="A169" s="12" t="s">
        <v>213</v>
      </c>
      <c r="B169" s="13">
        <v>4674.4000000000005</v>
      </c>
      <c r="C169" t="s">
        <v>89</v>
      </c>
    </row>
    <row r="170" spans="1:3" x14ac:dyDescent="0.25">
      <c r="A170" s="12" t="s">
        <v>215</v>
      </c>
      <c r="B170" s="13">
        <v>8623.5</v>
      </c>
      <c r="C170" t="s">
        <v>91</v>
      </c>
    </row>
    <row r="171" spans="1:3" x14ac:dyDescent="0.25">
      <c r="A171" s="12" t="s">
        <v>217</v>
      </c>
      <c r="B171" s="13">
        <v>7876.4</v>
      </c>
      <c r="C171" t="s">
        <v>93</v>
      </c>
    </row>
    <row r="172" spans="1:3" x14ac:dyDescent="0.25">
      <c r="A172" s="12" t="s">
        <v>219</v>
      </c>
      <c r="B172" s="13">
        <v>8455.9</v>
      </c>
      <c r="C172" t="s">
        <v>95</v>
      </c>
    </row>
    <row r="173" spans="1:3" x14ac:dyDescent="0.25">
      <c r="A173" s="12" t="s">
        <v>221</v>
      </c>
      <c r="B173" s="13">
        <v>8189.7</v>
      </c>
      <c r="C173" t="s">
        <v>97</v>
      </c>
    </row>
    <row r="174" spans="1:3" x14ac:dyDescent="0.25">
      <c r="A174" s="12" t="s">
        <v>223</v>
      </c>
      <c r="B174" s="13">
        <v>8688.0369206816977</v>
      </c>
      <c r="C174" t="s">
        <v>99</v>
      </c>
    </row>
    <row r="175" spans="1:3" x14ac:dyDescent="0.25">
      <c r="A175" s="12" t="s">
        <v>225</v>
      </c>
      <c r="B175" s="13">
        <v>7995</v>
      </c>
      <c r="C175" t="s">
        <v>101</v>
      </c>
    </row>
    <row r="176" spans="1:3" x14ac:dyDescent="0.25">
      <c r="A176" s="12" t="s">
        <v>227</v>
      </c>
      <c r="B176" s="13">
        <v>8788.1</v>
      </c>
      <c r="C176" t="s">
        <v>103</v>
      </c>
    </row>
    <row r="177" spans="1:3" x14ac:dyDescent="0.25">
      <c r="A177" s="12" t="s">
        <v>229</v>
      </c>
      <c r="B177" s="13">
        <v>5994.9881898732656</v>
      </c>
      <c r="C177" t="s">
        <v>105</v>
      </c>
    </row>
    <row r="178" spans="1:3" x14ac:dyDescent="0.25">
      <c r="A178" s="12" t="s">
        <v>231</v>
      </c>
      <c r="B178" s="13">
        <v>9623.3000000000011</v>
      </c>
      <c r="C178" t="s">
        <v>107</v>
      </c>
    </row>
    <row r="179" spans="1:3" x14ac:dyDescent="0.25">
      <c r="A179" s="12" t="s">
        <v>233</v>
      </c>
      <c r="B179" s="13">
        <v>8756.1</v>
      </c>
      <c r="C179" t="s">
        <v>109</v>
      </c>
    </row>
    <row r="180" spans="1:3" x14ac:dyDescent="0.25">
      <c r="A180" s="12" t="s">
        <v>235</v>
      </c>
      <c r="B180" s="13">
        <v>8322.0015412346856</v>
      </c>
      <c r="C180" t="s">
        <v>111</v>
      </c>
    </row>
    <row r="181" spans="1:3" x14ac:dyDescent="0.25">
      <c r="A181" s="12" t="s">
        <v>237</v>
      </c>
      <c r="B181" s="13">
        <v>5601.7</v>
      </c>
      <c r="C181" t="s">
        <v>113</v>
      </c>
    </row>
    <row r="182" spans="1:3" x14ac:dyDescent="0.25">
      <c r="A182" s="12" t="s">
        <v>239</v>
      </c>
      <c r="B182" s="13">
        <v>7929.7574878735313</v>
      </c>
      <c r="C182" t="s">
        <v>115</v>
      </c>
    </row>
    <row r="183" spans="1:3" x14ac:dyDescent="0.25">
      <c r="A183" s="12" t="s">
        <v>241</v>
      </c>
      <c r="B183" s="13">
        <v>7874.4000000000005</v>
      </c>
      <c r="C183" t="s">
        <v>117</v>
      </c>
    </row>
    <row r="184" spans="1:3" x14ac:dyDescent="0.25">
      <c r="A184" s="12" t="s">
        <v>243</v>
      </c>
      <c r="B184" s="13">
        <v>8782</v>
      </c>
      <c r="C184" t="s">
        <v>119</v>
      </c>
    </row>
    <row r="185" spans="1:3" x14ac:dyDescent="0.25">
      <c r="A185" s="12" t="s">
        <v>245</v>
      </c>
      <c r="B185" s="13">
        <v>8033.6771747164103</v>
      </c>
      <c r="C185" t="s">
        <v>121</v>
      </c>
    </row>
    <row r="186" spans="1:3" x14ac:dyDescent="0.25">
      <c r="A186" s="12" t="s">
        <v>247</v>
      </c>
      <c r="B186" s="13">
        <v>7403.0204323363932</v>
      </c>
      <c r="C186" t="s">
        <v>123</v>
      </c>
    </row>
    <row r="187" spans="1:3" x14ac:dyDescent="0.25">
      <c r="A187" t="s">
        <v>1</v>
      </c>
      <c r="B187" s="13">
        <v>1.07416E-4</v>
      </c>
      <c r="C187" s="12" t="s">
        <v>125</v>
      </c>
    </row>
    <row r="188" spans="1:3" x14ac:dyDescent="0.25">
      <c r="A188" t="s">
        <v>3</v>
      </c>
      <c r="B188" s="13">
        <v>1.88946E-4</v>
      </c>
      <c r="C188" s="12" t="s">
        <v>127</v>
      </c>
    </row>
    <row r="189" spans="1:3" x14ac:dyDescent="0.25">
      <c r="A189" t="s">
        <v>5</v>
      </c>
      <c r="B189" s="13">
        <v>1.32032E-4</v>
      </c>
      <c r="C189" s="12" t="s">
        <v>129</v>
      </c>
    </row>
    <row r="190" spans="1:3" x14ac:dyDescent="0.25">
      <c r="A190" t="s">
        <v>7</v>
      </c>
      <c r="B190" s="13">
        <v>3.2198699999999998E-4</v>
      </c>
      <c r="C190" s="12" t="s">
        <v>131</v>
      </c>
    </row>
    <row r="191" spans="1:3" x14ac:dyDescent="0.25">
      <c r="A191" t="s">
        <v>9</v>
      </c>
      <c r="B191" s="13">
        <v>1.116503E-4</v>
      </c>
      <c r="C191" s="12" t="s">
        <v>133</v>
      </c>
    </row>
    <row r="192" spans="1:3" x14ac:dyDescent="0.25">
      <c r="A192" t="s">
        <v>11</v>
      </c>
      <c r="B192" s="13">
        <v>2.7753000000000001E-4</v>
      </c>
      <c r="C192" s="12" t="s">
        <v>135</v>
      </c>
    </row>
    <row r="193" spans="1:3" x14ac:dyDescent="0.25">
      <c r="A193" t="s">
        <v>13</v>
      </c>
      <c r="B193" s="13">
        <v>1.1148400000000001E-4</v>
      </c>
      <c r="C193" s="12" t="s">
        <v>137</v>
      </c>
    </row>
    <row r="194" spans="1:3" x14ac:dyDescent="0.25">
      <c r="A194" t="s">
        <v>15</v>
      </c>
      <c r="B194" s="13">
        <v>1.3992E-4</v>
      </c>
      <c r="C194" s="12" t="s">
        <v>139</v>
      </c>
    </row>
    <row r="195" spans="1:3" x14ac:dyDescent="0.25">
      <c r="A195" t="s">
        <v>17</v>
      </c>
      <c r="B195" s="13">
        <v>1.1423499999999999E-4</v>
      </c>
      <c r="C195" s="12" t="s">
        <v>141</v>
      </c>
    </row>
    <row r="196" spans="1:3" x14ac:dyDescent="0.25">
      <c r="A196" t="s">
        <v>19</v>
      </c>
      <c r="B196" s="13">
        <v>1.2283800000000001E-4</v>
      </c>
      <c r="C196" s="12" t="s">
        <v>143</v>
      </c>
    </row>
    <row r="197" spans="1:3" x14ac:dyDescent="0.25">
      <c r="A197" t="s">
        <v>21</v>
      </c>
      <c r="B197" s="13">
        <v>1.27148E-4</v>
      </c>
      <c r="C197" s="12" t="s">
        <v>145</v>
      </c>
    </row>
    <row r="198" spans="1:3" x14ac:dyDescent="0.25">
      <c r="A198" t="s">
        <v>23</v>
      </c>
      <c r="B198" s="13">
        <v>1.46155E-4</v>
      </c>
      <c r="C198" s="12" t="s">
        <v>147</v>
      </c>
    </row>
    <row r="199" spans="1:3" x14ac:dyDescent="0.25">
      <c r="A199" t="s">
        <v>25</v>
      </c>
      <c r="B199" s="13">
        <v>1.06019E-4</v>
      </c>
      <c r="C199" s="12" t="s">
        <v>149</v>
      </c>
    </row>
    <row r="200" spans="1:3" x14ac:dyDescent="0.25">
      <c r="A200" t="s">
        <v>27</v>
      </c>
      <c r="B200" s="13">
        <v>1.2518100000000001E-4</v>
      </c>
      <c r="C200" s="12" t="s">
        <v>151</v>
      </c>
    </row>
    <row r="201" spans="1:3" x14ac:dyDescent="0.25">
      <c r="A201" t="s">
        <v>29</v>
      </c>
      <c r="B201" s="13">
        <v>1.1477E-4</v>
      </c>
      <c r="C201" s="12" t="s">
        <v>153</v>
      </c>
    </row>
    <row r="202" spans="1:3" x14ac:dyDescent="0.25">
      <c r="A202" t="s">
        <v>31</v>
      </c>
      <c r="B202" s="13">
        <v>1.1434899999999999E-4</v>
      </c>
      <c r="C202" s="12" t="s">
        <v>155</v>
      </c>
    </row>
    <row r="203" spans="1:3" x14ac:dyDescent="0.25">
      <c r="A203" t="s">
        <v>33</v>
      </c>
      <c r="B203" s="13">
        <v>1.1579299999999999E-4</v>
      </c>
      <c r="C203" s="12" t="s">
        <v>157</v>
      </c>
    </row>
    <row r="204" spans="1:3" x14ac:dyDescent="0.25">
      <c r="A204" t="s">
        <v>35</v>
      </c>
      <c r="B204" s="13">
        <v>1.4297299999999999E-4</v>
      </c>
      <c r="C204" s="12" t="s">
        <v>159</v>
      </c>
    </row>
    <row r="205" spans="1:3" x14ac:dyDescent="0.25">
      <c r="A205" t="s">
        <v>37</v>
      </c>
      <c r="B205" s="13">
        <v>1.34423E-4</v>
      </c>
      <c r="C205" s="12" t="s">
        <v>161</v>
      </c>
    </row>
    <row r="206" spans="1:3" x14ac:dyDescent="0.25">
      <c r="A206" t="s">
        <v>39</v>
      </c>
      <c r="B206" s="13">
        <v>1.1526039999999999E-4</v>
      </c>
      <c r="C206" s="12" t="s">
        <v>163</v>
      </c>
    </row>
    <row r="207" spans="1:3" x14ac:dyDescent="0.25">
      <c r="A207" t="s">
        <v>41</v>
      </c>
      <c r="B207" s="13">
        <v>1.4408300000000001E-4</v>
      </c>
      <c r="C207" s="12" t="s">
        <v>165</v>
      </c>
    </row>
    <row r="208" spans="1:3" x14ac:dyDescent="0.25">
      <c r="A208" t="s">
        <v>43</v>
      </c>
      <c r="B208" s="13">
        <v>1.1792899999999999E-4</v>
      </c>
      <c r="C208" s="12" t="s">
        <v>167</v>
      </c>
    </row>
    <row r="209" spans="1:3" x14ac:dyDescent="0.25">
      <c r="A209" t="s">
        <v>45</v>
      </c>
      <c r="B209" s="13">
        <v>1.1455100000000001E-4</v>
      </c>
      <c r="C209" s="12" t="s">
        <v>169</v>
      </c>
    </row>
    <row r="210" spans="1:3" x14ac:dyDescent="0.25">
      <c r="A210" t="s">
        <v>47</v>
      </c>
      <c r="B210" s="13">
        <v>1.20902E-4</v>
      </c>
      <c r="C210" s="12" t="s">
        <v>171</v>
      </c>
    </row>
    <row r="211" spans="1:3" x14ac:dyDescent="0.25">
      <c r="A211" t="s">
        <v>49</v>
      </c>
      <c r="B211" s="13">
        <v>1.20458E-4</v>
      </c>
      <c r="C211" s="12" t="s">
        <v>173</v>
      </c>
    </row>
    <row r="212" spans="1:3" x14ac:dyDescent="0.25">
      <c r="A212" t="s">
        <v>51</v>
      </c>
      <c r="B212" s="13">
        <v>1.1727700000000001E-4</v>
      </c>
      <c r="C212" s="12" t="s">
        <v>175</v>
      </c>
    </row>
    <row r="213" spans="1:3" x14ac:dyDescent="0.25">
      <c r="A213" t="s">
        <v>53</v>
      </c>
      <c r="B213" s="13">
        <v>2.1528299999999998E-4</v>
      </c>
      <c r="C213" s="12" t="s">
        <v>177</v>
      </c>
    </row>
    <row r="214" spans="1:3" x14ac:dyDescent="0.25">
      <c r="A214" t="s">
        <v>55</v>
      </c>
      <c r="B214" s="13">
        <v>1.1371572925180176E-4</v>
      </c>
      <c r="C214" s="12" t="s">
        <v>179</v>
      </c>
    </row>
    <row r="215" spans="1:3" x14ac:dyDescent="0.25">
      <c r="A215" t="s">
        <v>57</v>
      </c>
      <c r="B215" s="13">
        <v>1.6580699999999999E-4</v>
      </c>
      <c r="C215" s="12" t="s">
        <v>181</v>
      </c>
    </row>
    <row r="216" spans="1:3" x14ac:dyDescent="0.25">
      <c r="A216" t="s">
        <v>59</v>
      </c>
      <c r="B216" s="13">
        <v>1.2912200000000001E-4</v>
      </c>
      <c r="C216" s="12" t="s">
        <v>183</v>
      </c>
    </row>
    <row r="217" spans="1:3" x14ac:dyDescent="0.25">
      <c r="A217" t="s">
        <v>61</v>
      </c>
      <c r="B217" s="13">
        <v>1.5003100000000001E-4</v>
      </c>
      <c r="C217" s="12" t="s">
        <v>185</v>
      </c>
    </row>
    <row r="218" spans="1:3" x14ac:dyDescent="0.25">
      <c r="A218" t="s">
        <v>63</v>
      </c>
      <c r="B218" s="13">
        <v>1.3479699999999998E-4</v>
      </c>
      <c r="C218" s="12" t="s">
        <v>187</v>
      </c>
    </row>
    <row r="219" spans="1:3" x14ac:dyDescent="0.25">
      <c r="A219" t="s">
        <v>65</v>
      </c>
      <c r="B219" s="13">
        <v>1.43053E-4</v>
      </c>
      <c r="C219" s="12" t="s">
        <v>189</v>
      </c>
    </row>
    <row r="220" spans="1:3" x14ac:dyDescent="0.25">
      <c r="A220" t="s">
        <v>67</v>
      </c>
      <c r="B220" s="13">
        <v>1.1663900000000001E-4</v>
      </c>
      <c r="C220" s="12" t="s">
        <v>191</v>
      </c>
    </row>
    <row r="221" spans="1:3" x14ac:dyDescent="0.25">
      <c r="A221" t="s">
        <v>69</v>
      </c>
      <c r="B221" s="13">
        <v>1.2725400000000001E-4</v>
      </c>
      <c r="C221" s="12" t="s">
        <v>193</v>
      </c>
    </row>
    <row r="222" spans="1:3" x14ac:dyDescent="0.25">
      <c r="A222" t="s">
        <v>71</v>
      </c>
      <c r="B222" s="13">
        <v>2.2913600000000001E-4</v>
      </c>
      <c r="C222" s="12" t="s">
        <v>195</v>
      </c>
    </row>
    <row r="223" spans="1:3" x14ac:dyDescent="0.25">
      <c r="A223" t="s">
        <v>73</v>
      </c>
      <c r="B223" s="12">
        <v>1.1503703007518798E-4</v>
      </c>
      <c r="C223" s="12" t="s">
        <v>197</v>
      </c>
    </row>
    <row r="224" spans="1:3" x14ac:dyDescent="0.25">
      <c r="A224" t="s">
        <v>75</v>
      </c>
      <c r="B224" s="13">
        <v>1.0771999999999999E-4</v>
      </c>
      <c r="C224" s="12" t="s">
        <v>199</v>
      </c>
    </row>
    <row r="225" spans="1:3" x14ac:dyDescent="0.25">
      <c r="A225" t="s">
        <v>77</v>
      </c>
      <c r="B225" s="13">
        <v>1.17032E-4</v>
      </c>
      <c r="C225" s="12" t="s">
        <v>201</v>
      </c>
    </row>
    <row r="226" spans="1:3" x14ac:dyDescent="0.25">
      <c r="A226" t="s">
        <v>79</v>
      </c>
      <c r="B226" s="12">
        <v>1.164020708390999E-4</v>
      </c>
      <c r="C226" s="12" t="s">
        <v>203</v>
      </c>
    </row>
    <row r="227" spans="1:3" x14ac:dyDescent="0.25">
      <c r="A227" t="s">
        <v>81</v>
      </c>
      <c r="B227" s="13">
        <v>1.0936E-4</v>
      </c>
      <c r="C227" s="12" t="s">
        <v>205</v>
      </c>
    </row>
    <row r="228" spans="1:3" x14ac:dyDescent="0.25">
      <c r="A228" t="s">
        <v>83</v>
      </c>
      <c r="B228" s="13">
        <v>1.19713E-4</v>
      </c>
      <c r="C228" s="12" t="s">
        <v>207</v>
      </c>
    </row>
    <row r="229" spans="1:3" x14ac:dyDescent="0.25">
      <c r="A229" t="s">
        <v>85</v>
      </c>
      <c r="B229" s="13">
        <v>1.5338400000000001E-4</v>
      </c>
      <c r="C229" s="12" t="s">
        <v>209</v>
      </c>
    </row>
    <row r="230" spans="1:3" x14ac:dyDescent="0.25">
      <c r="A230" t="s">
        <v>87</v>
      </c>
      <c r="B230" s="13">
        <v>1.4052699999999999E-4</v>
      </c>
      <c r="C230" s="12" t="s">
        <v>211</v>
      </c>
    </row>
    <row r="231" spans="1:3" x14ac:dyDescent="0.25">
      <c r="A231" t="s">
        <v>89</v>
      </c>
      <c r="B231" s="13">
        <v>2.1393200000000001E-4</v>
      </c>
      <c r="C231" s="12" t="s">
        <v>213</v>
      </c>
    </row>
    <row r="232" spans="1:3" x14ac:dyDescent="0.25">
      <c r="A232" t="s">
        <v>91</v>
      </c>
      <c r="B232" s="13">
        <v>1.1596200000000001E-4</v>
      </c>
      <c r="C232" s="12" t="s">
        <v>215</v>
      </c>
    </row>
    <row r="233" spans="1:3" x14ac:dyDescent="0.25">
      <c r="A233" t="s">
        <v>93</v>
      </c>
      <c r="B233" s="13">
        <v>1.2696099999999998E-4</v>
      </c>
      <c r="C233" s="12" t="s">
        <v>217</v>
      </c>
    </row>
    <row r="234" spans="1:3" x14ac:dyDescent="0.25">
      <c r="A234" t="s">
        <v>95</v>
      </c>
      <c r="B234" s="13">
        <v>1.1826000000000001E-4</v>
      </c>
      <c r="C234" s="12" t="s">
        <v>219</v>
      </c>
    </row>
    <row r="235" spans="1:3" x14ac:dyDescent="0.25">
      <c r="A235" t="s">
        <v>97</v>
      </c>
      <c r="B235" s="13">
        <v>1.2210499999999998E-4</v>
      </c>
      <c r="C235" s="12" t="s">
        <v>221</v>
      </c>
    </row>
    <row r="236" spans="1:3" x14ac:dyDescent="0.25">
      <c r="A236" t="s">
        <v>99</v>
      </c>
      <c r="B236" s="13">
        <v>1.1510080000000001E-4</v>
      </c>
      <c r="C236" s="12" t="s">
        <v>223</v>
      </c>
    </row>
    <row r="237" spans="1:3" x14ac:dyDescent="0.25">
      <c r="A237" t="s">
        <v>101</v>
      </c>
      <c r="B237" s="13">
        <v>1.2507800000000001E-4</v>
      </c>
      <c r="C237" s="12" t="s">
        <v>225</v>
      </c>
    </row>
    <row r="238" spans="1:3" x14ac:dyDescent="0.25">
      <c r="A238" t="s">
        <v>103</v>
      </c>
      <c r="B238" s="13">
        <v>1.1378999999999999E-4</v>
      </c>
      <c r="C238" s="12" t="s">
        <v>227</v>
      </c>
    </row>
    <row r="239" spans="1:3" x14ac:dyDescent="0.25">
      <c r="A239" t="s">
        <v>105</v>
      </c>
      <c r="B239" s="13">
        <v>1.66806E-4</v>
      </c>
      <c r="C239" s="12" t="s">
        <v>229</v>
      </c>
    </row>
    <row r="240" spans="1:3" x14ac:dyDescent="0.25">
      <c r="A240" t="s">
        <v>107</v>
      </c>
      <c r="B240" s="13">
        <v>1.0391399999999999E-4</v>
      </c>
      <c r="C240" s="12" t="s">
        <v>231</v>
      </c>
    </row>
    <row r="241" spans="1:3" x14ac:dyDescent="0.25">
      <c r="A241" t="s">
        <v>109</v>
      </c>
      <c r="B241" s="13">
        <v>1.1420600000000001E-4</v>
      </c>
      <c r="C241" s="12" t="s">
        <v>233</v>
      </c>
    </row>
    <row r="242" spans="1:3" x14ac:dyDescent="0.25">
      <c r="A242" t="s">
        <v>111</v>
      </c>
      <c r="B242" s="13">
        <v>1.2016340000000001E-4</v>
      </c>
      <c r="C242" s="12" t="s">
        <v>235</v>
      </c>
    </row>
    <row r="243" spans="1:3" x14ac:dyDescent="0.25">
      <c r="A243" t="s">
        <v>113</v>
      </c>
      <c r="B243" s="13">
        <v>1.7851799999999999E-4</v>
      </c>
      <c r="C243" s="12" t="s">
        <v>237</v>
      </c>
    </row>
    <row r="244" spans="1:3" x14ac:dyDescent="0.25">
      <c r="A244" t="s">
        <v>115</v>
      </c>
      <c r="B244" s="13">
        <v>1.2610726135436497E-4</v>
      </c>
      <c r="C244" s="12" t="s">
        <v>239</v>
      </c>
    </row>
    <row r="245" spans="1:3" x14ac:dyDescent="0.25">
      <c r="A245" t="s">
        <v>117</v>
      </c>
      <c r="B245" s="13">
        <v>1.2699400000000001E-4</v>
      </c>
      <c r="C245" s="12" t="s">
        <v>241</v>
      </c>
    </row>
    <row r="246" spans="1:3" x14ac:dyDescent="0.25">
      <c r="A246" t="s">
        <v>119</v>
      </c>
      <c r="B246" s="13">
        <v>1.13869E-4</v>
      </c>
      <c r="C246" s="12" t="s">
        <v>243</v>
      </c>
    </row>
    <row r="247" spans="1:3" x14ac:dyDescent="0.25">
      <c r="A247" t="s">
        <v>121</v>
      </c>
      <c r="B247" s="13">
        <v>1.2447600000000002E-4</v>
      </c>
      <c r="C247" s="12" t="s">
        <v>245</v>
      </c>
    </row>
    <row r="248" spans="1:3" x14ac:dyDescent="0.25">
      <c r="A248" t="s">
        <v>123</v>
      </c>
      <c r="B248" s="13">
        <v>1.3507999999999999E-4</v>
      </c>
      <c r="C248" s="12" t="s">
        <v>247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DF96-CC08-4784-8077-6DD6B6352A6B}">
  <sheetPr codeName="Sheet4"/>
  <dimension ref="A1:CC113"/>
  <sheetViews>
    <sheetView tabSelected="1" zoomScaleNormal="100" workbookViewId="0">
      <selection activeCell="I23" sqref="I23"/>
    </sheetView>
  </sheetViews>
  <sheetFormatPr defaultColWidth="8.85546875" defaultRowHeight="12.75" x14ac:dyDescent="0.2"/>
  <cols>
    <col min="1" max="1" width="27.28515625" style="4" customWidth="1"/>
    <col min="2" max="2" width="10.42578125" style="4" customWidth="1"/>
    <col min="3" max="3" width="26.28515625" style="4" customWidth="1"/>
    <col min="4" max="4" width="10" style="6" bestFit="1" customWidth="1"/>
    <col min="5" max="5" width="10.5703125" style="6" bestFit="1" customWidth="1"/>
    <col min="6" max="6" width="16" style="6" customWidth="1"/>
    <col min="7" max="7" width="12.85546875" style="6" customWidth="1"/>
    <col min="8" max="8" width="11.7109375" style="6" bestFit="1" customWidth="1"/>
    <col min="9" max="9" width="12.42578125" style="6" bestFit="1" customWidth="1"/>
    <col min="10" max="10" width="10.42578125" style="6" bestFit="1" customWidth="1"/>
    <col min="11" max="13" width="10.42578125" style="6" customWidth="1"/>
    <col min="14" max="15" width="10.42578125" style="6" bestFit="1" customWidth="1"/>
    <col min="16" max="29" width="10.42578125" style="6" customWidth="1"/>
    <col min="30" max="16384" width="8.85546875" style="6"/>
  </cols>
  <sheetData>
    <row r="1" spans="1:30" s="4" customFormat="1" x14ac:dyDescent="0.2">
      <c r="A1" s="6" t="str" cm="1">
        <f t="array" aca="1" ref="A1" ca="1">IFERROR(MID(CELL("filename", A1), FIND("[", CELL("filename", A1)) + 1, FIND("]", CELL("filename", A1)) - FIND("[", CELL("filename", A1)) - 1), "")</f>
        <v>LIME_ICPAES_472R_Roger Ort_jlm80.xlsm</v>
      </c>
      <c r="B1" s="6"/>
      <c r="C1" s="6"/>
      <c r="D1" s="7"/>
      <c r="E1" s="7"/>
      <c r="F1" s="7"/>
      <c r="G1" s="1"/>
      <c r="H1" s="7"/>
      <c r="I1" s="7"/>
      <c r="J1" s="7"/>
      <c r="K1" s="7"/>
      <c r="L1" s="7"/>
      <c r="M1" s="7"/>
      <c r="N1" s="7"/>
      <c r="O1" s="1"/>
      <c r="P1" s="1"/>
      <c r="Q1" s="1"/>
      <c r="R1" s="1"/>
      <c r="S1" s="7"/>
      <c r="T1" s="7"/>
      <c r="U1" s="7"/>
      <c r="V1" s="7"/>
      <c r="W1" s="7"/>
      <c r="X1" s="7"/>
      <c r="Y1" s="7"/>
      <c r="Z1" s="7"/>
      <c r="AA1" s="7"/>
      <c r="AB1" s="7"/>
      <c r="AC1" s="7"/>
    </row>
    <row r="2" spans="1:30" s="4" customFormat="1" x14ac:dyDescent="0.2">
      <c r="A2" s="6"/>
      <c r="B2" s="6"/>
      <c r="C2" s="6"/>
      <c r="D2" s="7"/>
      <c r="E2" s="7"/>
      <c r="F2" s="7"/>
      <c r="G2" s="1"/>
      <c r="H2" s="1"/>
      <c r="I2" s="1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</row>
    <row r="3" spans="1:30" s="4" customFormat="1" x14ac:dyDescent="0.2">
      <c r="A3" s="6"/>
      <c r="B3" s="6"/>
      <c r="C3" s="6"/>
      <c r="D3" s="7"/>
      <c r="E3" s="7"/>
      <c r="F3" s="7"/>
      <c r="G3" s="1"/>
      <c r="H3" s="1"/>
      <c r="I3" s="1"/>
      <c r="J3" s="7"/>
      <c r="K3" s="7"/>
      <c r="L3" s="7"/>
      <c r="M3" s="7"/>
      <c r="N3" s="7"/>
      <c r="O3" s="1"/>
      <c r="P3" s="1"/>
      <c r="Q3" s="1"/>
      <c r="R3" s="1"/>
      <c r="S3" s="7"/>
      <c r="T3" s="7"/>
      <c r="U3" s="7"/>
      <c r="V3" s="7"/>
      <c r="W3" s="7"/>
      <c r="X3" s="7"/>
      <c r="Y3" s="7"/>
      <c r="Z3" s="7"/>
      <c r="AA3" s="7"/>
      <c r="AB3" s="7"/>
      <c r="AC3" s="7"/>
    </row>
    <row r="4" spans="1:30" s="4" customFormat="1" x14ac:dyDescent="0.2">
      <c r="A4" s="6"/>
      <c r="B4" s="6"/>
      <c r="C4" s="6"/>
      <c r="D4" s="7"/>
      <c r="E4" s="7"/>
      <c r="F4" s="7"/>
      <c r="G4" s="1"/>
      <c r="H4" s="1"/>
      <c r="I4" s="1"/>
      <c r="J4" s="1"/>
      <c r="K4" s="1"/>
      <c r="L4" s="1"/>
      <c r="M4" s="1"/>
      <c r="N4" s="7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7"/>
      <c r="AC4" s="7"/>
    </row>
    <row r="5" spans="1:30" s="4" customFormat="1" x14ac:dyDescent="0.2">
      <c r="A5" s="6"/>
      <c r="B5" s="6"/>
      <c r="C5" s="6"/>
      <c r="D5" s="7"/>
      <c r="E5" s="7"/>
      <c r="F5" s="7"/>
      <c r="G5" s="1"/>
      <c r="H5" s="1"/>
      <c r="I5" s="1"/>
      <c r="J5" s="7"/>
      <c r="K5" s="7"/>
      <c r="L5" s="7"/>
      <c r="M5" s="7"/>
      <c r="N5" s="7"/>
      <c r="O5" s="1"/>
      <c r="P5" s="1"/>
      <c r="Q5" s="1"/>
      <c r="R5" s="1"/>
      <c r="S5" s="7"/>
      <c r="T5" s="7"/>
      <c r="U5" s="7"/>
      <c r="V5" s="7"/>
      <c r="W5" s="7"/>
      <c r="X5" s="7"/>
      <c r="Y5" s="7"/>
      <c r="Z5" s="7"/>
      <c r="AA5" s="7"/>
      <c r="AB5" s="7"/>
      <c r="AC5" s="7"/>
    </row>
    <row r="6" spans="1:30" s="4" customFormat="1" x14ac:dyDescent="0.2">
      <c r="A6" s="6"/>
      <c r="B6" s="6"/>
      <c r="C6" s="6"/>
      <c r="D6" s="7"/>
      <c r="E6" s="7"/>
      <c r="F6" s="7"/>
      <c r="G6" s="1"/>
      <c r="H6" s="1"/>
      <c r="I6" s="1"/>
      <c r="J6" s="7"/>
      <c r="K6" s="7"/>
      <c r="L6" s="7"/>
      <c r="M6" s="7"/>
      <c r="N6" s="7"/>
      <c r="O6" s="1"/>
      <c r="P6" s="1"/>
      <c r="Q6" s="1"/>
      <c r="R6" s="1"/>
      <c r="S6" s="7"/>
      <c r="T6" s="7"/>
      <c r="U6" s="7"/>
      <c r="V6" s="7"/>
      <c r="W6" s="7"/>
      <c r="X6" s="7"/>
      <c r="Y6" s="7"/>
      <c r="Z6" s="7"/>
      <c r="AA6" s="7"/>
      <c r="AB6" s="7"/>
      <c r="AC6" s="7"/>
    </row>
    <row r="7" spans="1:30" s="4" customFormat="1" x14ac:dyDescent="0.2">
      <c r="A7" s="6"/>
      <c r="B7" s="6"/>
      <c r="C7" s="6"/>
      <c r="D7" s="7"/>
      <c r="E7" s="7"/>
      <c r="F7" s="7"/>
      <c r="G7" s="1"/>
      <c r="H7" s="1"/>
      <c r="I7" s="1"/>
      <c r="J7" s="7"/>
      <c r="K7" s="7"/>
      <c r="L7" s="7"/>
      <c r="M7" s="7"/>
      <c r="N7" s="7"/>
      <c r="O7" s="1"/>
      <c r="P7" s="1"/>
      <c r="Q7" s="1"/>
      <c r="R7" s="1"/>
      <c r="S7" s="7"/>
      <c r="T7" s="7"/>
      <c r="U7" s="7"/>
      <c r="V7" s="7"/>
      <c r="W7" s="7"/>
      <c r="X7" s="7"/>
      <c r="Y7" s="7"/>
      <c r="Z7" s="7"/>
      <c r="AA7" s="7"/>
      <c r="AB7" s="7"/>
      <c r="AC7" s="7"/>
    </row>
    <row r="8" spans="1:30" s="4" customFormat="1" x14ac:dyDescent="0.2">
      <c r="A8" s="6"/>
      <c r="B8" s="6"/>
      <c r="C8" s="6"/>
      <c r="D8" s="7"/>
      <c r="E8" s="7"/>
      <c r="F8" s="7"/>
      <c r="G8" s="1"/>
      <c r="H8" s="1"/>
      <c r="I8" s="1"/>
      <c r="J8" s="7"/>
      <c r="K8" s="7"/>
      <c r="L8" s="7"/>
      <c r="M8" s="7"/>
      <c r="N8" s="7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7"/>
      <c r="AC8" s="7"/>
      <c r="AD8" s="3"/>
    </row>
    <row r="9" spans="1:30" s="4" customFormat="1" x14ac:dyDescent="0.2">
      <c r="A9" s="6"/>
      <c r="B9" s="6"/>
      <c r="C9" s="6"/>
      <c r="D9" s="7"/>
      <c r="E9" s="7"/>
      <c r="F9" s="7"/>
      <c r="G9" s="1"/>
      <c r="H9" s="1"/>
      <c r="I9" s="1"/>
      <c r="J9" s="7"/>
      <c r="K9" s="7"/>
      <c r="L9" s="7"/>
      <c r="M9" s="7"/>
      <c r="N9" s="7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7"/>
      <c r="AC9" s="7"/>
      <c r="AD9" s="3"/>
    </row>
    <row r="10" spans="1:30" s="4" customFormat="1" x14ac:dyDescent="0.2">
      <c r="A10" s="6"/>
      <c r="B10" s="6"/>
      <c r="C10" s="6"/>
      <c r="D10" s="7"/>
      <c r="E10" s="7"/>
      <c r="F10" s="7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3"/>
    </row>
    <row r="11" spans="1:30" s="4" customFormat="1" x14ac:dyDescent="0.2">
      <c r="A11" s="6"/>
      <c r="B11" s="6"/>
      <c r="C11" s="6"/>
      <c r="D11" s="7"/>
      <c r="E11" s="7"/>
      <c r="F11" s="7"/>
      <c r="G11" s="1"/>
      <c r="H11" s="1"/>
      <c r="I11" s="1"/>
      <c r="J11" s="1"/>
      <c r="K11" s="1"/>
      <c r="L11" s="1"/>
      <c r="M11" s="1"/>
      <c r="N11" s="7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7"/>
      <c r="AC11" s="7"/>
      <c r="AD11" s="5"/>
    </row>
    <row r="12" spans="1:30" s="4" customFormat="1" x14ac:dyDescent="0.2">
      <c r="A12" s="6"/>
      <c r="B12" s="8" t="s">
        <v>248</v>
      </c>
      <c r="C12" s="6" t="s">
        <v>260</v>
      </c>
      <c r="D12" s="7"/>
      <c r="E12" s="7"/>
      <c r="F12" s="7"/>
      <c r="G12" s="1"/>
      <c r="H12" s="1"/>
      <c r="I12" s="1"/>
      <c r="J12" s="1"/>
      <c r="K12" s="1"/>
      <c r="L12" s="1"/>
      <c r="M12" s="1"/>
      <c r="N12" s="7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7"/>
      <c r="AC12" s="7"/>
      <c r="AD12" s="5"/>
    </row>
    <row r="13" spans="1:30" s="4" customFormat="1" x14ac:dyDescent="0.2">
      <c r="A13" s="6"/>
      <c r="B13" s="6"/>
      <c r="C13" s="6"/>
      <c r="D13" s="7"/>
      <c r="E13" s="7"/>
      <c r="F13" s="7"/>
      <c r="G13" s="1"/>
      <c r="H13" s="1"/>
      <c r="I13" s="1"/>
      <c r="J13" s="1"/>
      <c r="K13" s="1"/>
      <c r="L13" s="1"/>
      <c r="M13" s="1"/>
      <c r="N13" s="7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7"/>
      <c r="AC13" s="7"/>
      <c r="AD13" s="5"/>
    </row>
    <row r="14" spans="1:30" s="4" customFormat="1" x14ac:dyDescent="0.2">
      <c r="A14" s="6"/>
      <c r="B14" s="6" t="s">
        <v>249</v>
      </c>
      <c r="C14" s="14">
        <v>46055</v>
      </c>
      <c r="D14" s="7"/>
      <c r="E14" s="7"/>
      <c r="F14" s="7"/>
      <c r="G14" s="1"/>
      <c r="H14" s="1"/>
      <c r="I14" s="1"/>
      <c r="J14" s="1"/>
      <c r="K14" s="1"/>
      <c r="L14" s="1"/>
      <c r="M14" s="1"/>
      <c r="N14" s="7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7"/>
      <c r="AC14" s="7"/>
      <c r="AD14" s="5"/>
    </row>
    <row r="15" spans="1:30" s="4" customFormat="1" x14ac:dyDescent="0.2">
      <c r="A15" s="6"/>
      <c r="B15" s="6" t="s">
        <v>250</v>
      </c>
      <c r="C15" s="6" t="s">
        <v>261</v>
      </c>
      <c r="D15" s="7"/>
      <c r="E15" s="7"/>
      <c r="F15" s="7"/>
      <c r="G15" s="1"/>
      <c r="H15" s="1"/>
      <c r="I15" s="1"/>
      <c r="J15" s="1"/>
      <c r="K15" s="1"/>
      <c r="L15" s="1"/>
      <c r="M15" s="1"/>
      <c r="N15" s="7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7"/>
      <c r="AC15" s="7"/>
      <c r="AD15" s="5"/>
    </row>
    <row r="16" spans="1:30" s="4" customFormat="1" x14ac:dyDescent="0.2">
      <c r="A16" s="6"/>
      <c r="B16" s="6" t="s">
        <v>251</v>
      </c>
      <c r="C16" s="6" t="s">
        <v>262</v>
      </c>
      <c r="D16" s="7"/>
      <c r="E16" s="7"/>
      <c r="F16" s="7"/>
      <c r="G16" s="1"/>
      <c r="H16" s="1"/>
      <c r="I16" s="1"/>
      <c r="J16" s="1"/>
      <c r="K16" s="1"/>
      <c r="L16" s="1"/>
      <c r="M16" s="1"/>
      <c r="N16" s="7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7"/>
      <c r="AC16" s="7"/>
      <c r="AD16" s="5"/>
    </row>
    <row r="17" spans="1:81" s="4" customFormat="1" x14ac:dyDescent="0.2">
      <c r="A17" s="6"/>
      <c r="B17" s="6" t="s">
        <v>252</v>
      </c>
      <c r="C17" s="6" t="s">
        <v>263</v>
      </c>
      <c r="D17" s="7"/>
      <c r="E17" s="7"/>
      <c r="F17" s="7"/>
      <c r="G17" s="1"/>
      <c r="H17" s="1"/>
      <c r="I17" s="1"/>
      <c r="J17" s="1"/>
      <c r="K17" s="1"/>
      <c r="L17" s="1"/>
      <c r="M17" s="7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7"/>
      <c r="AB17" s="7"/>
      <c r="AC17" s="5"/>
    </row>
    <row r="18" spans="1:81" s="4" customFormat="1" x14ac:dyDescent="0.2">
      <c r="A18" s="6"/>
      <c r="B18" s="6" t="s">
        <v>253</v>
      </c>
      <c r="C18" s="6" t="s">
        <v>264</v>
      </c>
      <c r="D18" s="7"/>
      <c r="E18" s="7"/>
      <c r="F18" s="7"/>
      <c r="G18" s="1"/>
      <c r="H18" s="1"/>
      <c r="I18" s="1"/>
      <c r="J18" s="1"/>
      <c r="K18" s="1"/>
      <c r="L18" s="1"/>
      <c r="M18" s="7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7"/>
      <c r="AB18" s="7"/>
      <c r="AC18" s="5"/>
    </row>
    <row r="19" spans="1:81" s="4" customFormat="1" x14ac:dyDescent="0.2">
      <c r="A19" s="6"/>
      <c r="B19" s="6" t="s">
        <v>254</v>
      </c>
      <c r="C19" s="6"/>
      <c r="D19" s="7">
        <v>0.01</v>
      </c>
      <c r="E19" s="7">
        <v>0.02</v>
      </c>
      <c r="F19" s="7">
        <v>0.05</v>
      </c>
      <c r="G19" s="1">
        <v>0.03</v>
      </c>
      <c r="H19" s="1"/>
      <c r="I19" s="1"/>
      <c r="J19" s="1"/>
      <c r="K19" s="1"/>
      <c r="L19" s="1"/>
      <c r="M19" s="7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7"/>
      <c r="AB19" s="7"/>
      <c r="AC19" s="5"/>
    </row>
    <row r="20" spans="1:81" s="2" customFormat="1" x14ac:dyDescent="0.2">
      <c r="B20" s="2" t="s">
        <v>269</v>
      </c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</row>
    <row r="21" spans="1:81" s="2" customFormat="1" x14ac:dyDescent="0.2"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</row>
    <row r="22" spans="1:81" s="4" customFormat="1" ht="15.75" x14ac:dyDescent="0.3">
      <c r="A22" s="6"/>
      <c r="B22" s="4" t="s">
        <v>255</v>
      </c>
      <c r="C22" s="15" t="s">
        <v>265</v>
      </c>
      <c r="D22" s="1" t="s">
        <v>256</v>
      </c>
      <c r="E22" s="1" t="s">
        <v>257</v>
      </c>
      <c r="F22" s="1" t="s">
        <v>258</v>
      </c>
      <c r="G22" s="1" t="s">
        <v>259</v>
      </c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3"/>
      <c r="T22" s="1"/>
      <c r="U22" s="1"/>
      <c r="V22" s="1"/>
      <c r="W22" s="3"/>
      <c r="X22" s="1"/>
      <c r="Y22" s="1"/>
      <c r="Z22" s="1"/>
      <c r="AA22" s="1"/>
      <c r="AB22" s="10"/>
      <c r="AC22" s="3"/>
      <c r="AD22" s="3"/>
      <c r="AE22" s="3"/>
      <c r="AF22" s="3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</row>
    <row r="23" spans="1:81" s="4" customFormat="1" ht="15" x14ac:dyDescent="0.25">
      <c r="A23" s="6"/>
      <c r="B23" s="16"/>
      <c r="C23" s="17" t="s">
        <v>270</v>
      </c>
      <c r="D23" s="21">
        <v>0.21603318171826108</v>
      </c>
      <c r="E23" s="22">
        <v>84.601197136488835</v>
      </c>
      <c r="F23" s="23">
        <v>1294.1821463642191</v>
      </c>
      <c r="G23" s="27" t="s">
        <v>268</v>
      </c>
      <c r="H23" s="18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</row>
    <row r="24" spans="1:81" s="4" customFormat="1" ht="15" x14ac:dyDescent="0.25">
      <c r="A24" s="6"/>
      <c r="B24" s="16"/>
      <c r="C24" s="17" t="s">
        <v>271</v>
      </c>
      <c r="D24" s="21">
        <v>0.229884129512823</v>
      </c>
      <c r="E24" s="22">
        <v>83.729151475066786</v>
      </c>
      <c r="F24" s="23">
        <v>1387.6618690098592</v>
      </c>
      <c r="G24" s="27" t="s">
        <v>268</v>
      </c>
      <c r="H24" s="18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</row>
    <row r="25" spans="1:81" s="4" customFormat="1" ht="15" x14ac:dyDescent="0.25">
      <c r="A25" s="6"/>
      <c r="B25" s="16"/>
      <c r="C25" s="17" t="s">
        <v>272</v>
      </c>
      <c r="D25" s="21">
        <v>0.20699147921919112</v>
      </c>
      <c r="E25" s="22">
        <v>81.37141111747961</v>
      </c>
      <c r="F25" s="23">
        <v>1364.0188377245647</v>
      </c>
      <c r="G25" s="27" t="s">
        <v>268</v>
      </c>
      <c r="H25" s="18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</row>
    <row r="26" spans="1:81" s="4" customFormat="1" ht="15" x14ac:dyDescent="0.25">
      <c r="A26" s="6"/>
      <c r="B26" s="16"/>
      <c r="C26" s="17" t="s">
        <v>273</v>
      </c>
      <c r="D26" s="21">
        <v>0.22287329906045567</v>
      </c>
      <c r="E26" s="22">
        <v>73.487125586761081</v>
      </c>
      <c r="F26" s="23">
        <v>1226.2662290857936</v>
      </c>
      <c r="G26" s="27" t="s">
        <v>268</v>
      </c>
      <c r="H26" s="18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</row>
    <row r="27" spans="1:81" s="4" customFormat="1" ht="15" x14ac:dyDescent="0.25">
      <c r="A27" s="6"/>
      <c r="B27" s="16"/>
      <c r="C27" s="17" t="s">
        <v>274</v>
      </c>
      <c r="D27" s="21">
        <v>0.17967514565586545</v>
      </c>
      <c r="E27" s="22">
        <v>84.459579785771524</v>
      </c>
      <c r="F27" s="23">
        <v>1295.5726301665259</v>
      </c>
      <c r="G27" s="27" t="s">
        <v>268</v>
      </c>
      <c r="H27" s="18"/>
      <c r="I27" s="1"/>
      <c r="J27" s="1"/>
      <c r="K27" s="1"/>
      <c r="L27" s="1"/>
      <c r="M27" s="1"/>
      <c r="N27" s="1"/>
      <c r="O27" s="1"/>
      <c r="P27" s="1"/>
      <c r="Q27" s="1"/>
      <c r="R27" s="1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</row>
    <row r="28" spans="1:81" s="4" customFormat="1" x14ac:dyDescent="0.2">
      <c r="A28" s="6"/>
      <c r="B28" s="18"/>
      <c r="C28" s="18"/>
      <c r="D28" s="24"/>
      <c r="E28" s="24"/>
      <c r="F28" s="24"/>
      <c r="G28" s="24"/>
      <c r="H28" s="18"/>
      <c r="I28" s="1"/>
      <c r="J28" s="1"/>
      <c r="K28" s="1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</row>
    <row r="29" spans="1:81" s="4" customFormat="1" x14ac:dyDescent="0.2">
      <c r="A29" s="6"/>
      <c r="B29" s="18"/>
      <c r="C29" s="19" t="s">
        <v>267</v>
      </c>
      <c r="D29" s="24">
        <v>4</v>
      </c>
      <c r="E29" s="25">
        <v>10</v>
      </c>
      <c r="F29" s="25">
        <v>50</v>
      </c>
      <c r="G29" s="25">
        <v>10</v>
      </c>
      <c r="H29" s="18"/>
      <c r="I29" s="1"/>
      <c r="J29" s="1"/>
      <c r="K29" s="1"/>
      <c r="L29" s="3"/>
      <c r="M29" s="1"/>
      <c r="N29" s="1"/>
      <c r="O29" s="1"/>
      <c r="P29" s="1"/>
      <c r="Q29" s="1"/>
      <c r="R29" s="1"/>
      <c r="S29" s="1"/>
      <c r="T29" s="1"/>
      <c r="U29" s="1"/>
      <c r="V29" s="3"/>
      <c r="W29" s="3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</row>
    <row r="30" spans="1:81" s="4" customFormat="1" x14ac:dyDescent="0.2">
      <c r="A30" s="6"/>
      <c r="B30" s="16"/>
      <c r="C30" s="17" t="s">
        <v>266</v>
      </c>
      <c r="D30" s="21">
        <v>1.997482878374639</v>
      </c>
      <c r="E30" s="21">
        <v>4.891894713452495</v>
      </c>
      <c r="F30" s="26">
        <v>25.108410817539269</v>
      </c>
      <c r="G30" s="21">
        <v>4.9253539340868304</v>
      </c>
      <c r="H30" s="18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3"/>
      <c r="W30" s="1"/>
      <c r="X30" s="1"/>
      <c r="Y30" s="1"/>
      <c r="Z30" s="1"/>
      <c r="AA30" s="1"/>
      <c r="AB30" s="1"/>
      <c r="AC30" s="1"/>
      <c r="AD30" s="1"/>
      <c r="AE30" s="1"/>
      <c r="AF30" s="3"/>
      <c r="AG30" s="3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s="4" customFormat="1" x14ac:dyDescent="0.2">
      <c r="A31" s="6"/>
      <c r="B31" s="16"/>
      <c r="C31" s="17" t="s">
        <v>266</v>
      </c>
      <c r="D31" s="21">
        <v>2.0010505735885338</v>
      </c>
      <c r="E31" s="21">
        <v>4.8846007623343137</v>
      </c>
      <c r="F31" s="26">
        <v>25.108615035503593</v>
      </c>
      <c r="G31" s="21">
        <v>4.9307988497422723</v>
      </c>
      <c r="H31" s="18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0"/>
      <c r="U31" s="10"/>
      <c r="V31" s="3"/>
      <c r="W31" s="1"/>
      <c r="X31" s="1"/>
      <c r="Y31" s="1"/>
      <c r="Z31" s="1"/>
      <c r="AA31" s="1"/>
      <c r="AB31" s="1"/>
      <c r="AC31" s="1"/>
      <c r="AD31" s="1"/>
      <c r="AE31" s="1"/>
      <c r="AF31" s="3"/>
      <c r="AG31" s="3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s="4" customFormat="1" x14ac:dyDescent="0.2">
      <c r="A32" s="6"/>
      <c r="B32" s="18"/>
      <c r="C32" s="18"/>
      <c r="D32" s="18"/>
      <c r="E32" s="18"/>
      <c r="F32" s="18"/>
      <c r="G32" s="18"/>
      <c r="H32" s="18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0"/>
      <c r="U32" s="10"/>
      <c r="V32" s="3"/>
      <c r="W32" s="1"/>
      <c r="X32" s="1"/>
      <c r="Y32" s="1"/>
      <c r="Z32" s="1"/>
      <c r="AA32" s="1"/>
      <c r="AB32" s="1"/>
      <c r="AC32" s="1"/>
      <c r="AD32" s="1"/>
      <c r="AE32" s="1"/>
      <c r="AF32" s="3"/>
      <c r="AG32" s="3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30" s="4" customFormat="1" x14ac:dyDescent="0.2">
      <c r="A33" s="6"/>
      <c r="B33" s="16"/>
      <c r="C33" s="16"/>
      <c r="D33" s="20"/>
      <c r="E33" s="20"/>
      <c r="F33" s="20"/>
      <c r="G33" s="18"/>
      <c r="H33" s="18"/>
      <c r="I33" s="1"/>
      <c r="J33" s="1"/>
      <c r="K33" s="1"/>
      <c r="L33" s="1"/>
      <c r="M33" s="7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7"/>
      <c r="AB33" s="7"/>
      <c r="AC33" s="5"/>
    </row>
    <row r="34" spans="1:30" s="4" customFormat="1" x14ac:dyDescent="0.2">
      <c r="A34" s="6"/>
      <c r="B34" s="6"/>
      <c r="C34" s="6"/>
      <c r="D34" s="7"/>
      <c r="E34" s="7"/>
      <c r="F34" s="7"/>
      <c r="G34" s="1"/>
      <c r="H34" s="1"/>
      <c r="I34" s="1"/>
      <c r="J34" s="1"/>
      <c r="K34" s="1"/>
      <c r="L34" s="1"/>
      <c r="M34" s="7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7"/>
      <c r="AB34" s="7"/>
      <c r="AC34" s="5"/>
    </row>
    <row r="35" spans="1:30" s="4" customFormat="1" x14ac:dyDescent="0.2">
      <c r="A35" s="6"/>
      <c r="B35" s="6"/>
      <c r="C35" s="6"/>
      <c r="D35" s="7"/>
      <c r="E35" s="7"/>
      <c r="F35" s="7"/>
      <c r="G35" s="1"/>
      <c r="H35" s="1"/>
      <c r="I35" s="1"/>
      <c r="J35" s="1"/>
      <c r="K35" s="1"/>
      <c r="L35" s="1"/>
      <c r="M35" s="7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7"/>
      <c r="AB35" s="7"/>
      <c r="AC35" s="5"/>
    </row>
    <row r="36" spans="1:30" s="4" customFormat="1" x14ac:dyDescent="0.2">
      <c r="A36" s="6"/>
      <c r="B36" s="6"/>
      <c r="C36" s="6"/>
      <c r="D36" s="7"/>
      <c r="E36" s="7"/>
      <c r="F36" s="7"/>
      <c r="G36" s="1"/>
      <c r="H36" s="1"/>
      <c r="I36" s="1"/>
      <c r="J36" s="1"/>
      <c r="K36" s="1"/>
      <c r="L36" s="1"/>
      <c r="M36" s="7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7"/>
      <c r="AB36" s="7"/>
      <c r="AC36" s="5"/>
    </row>
    <row r="37" spans="1:30" s="4" customFormat="1" x14ac:dyDescent="0.2">
      <c r="A37" s="6"/>
      <c r="B37" s="6"/>
      <c r="C37" s="6"/>
      <c r="D37" s="7"/>
      <c r="E37" s="7"/>
      <c r="F37" s="7"/>
      <c r="G37" s="1"/>
      <c r="H37" s="1"/>
      <c r="I37" s="1"/>
      <c r="J37" s="1"/>
      <c r="K37" s="1"/>
      <c r="L37" s="1"/>
      <c r="M37" s="7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7"/>
      <c r="AB37" s="7"/>
      <c r="AC37" s="5"/>
    </row>
    <row r="38" spans="1:30" s="4" customFormat="1" x14ac:dyDescent="0.2">
      <c r="A38" s="6"/>
      <c r="B38" s="6"/>
      <c r="C38" s="6"/>
      <c r="D38" s="7"/>
      <c r="E38" s="7"/>
      <c r="F38" s="7"/>
      <c r="G38" s="1"/>
      <c r="H38" s="1"/>
      <c r="I38" s="1"/>
      <c r="J38" s="1"/>
      <c r="K38" s="1"/>
      <c r="L38" s="1"/>
      <c r="M38" s="7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7"/>
      <c r="AB38" s="7"/>
      <c r="AC38" s="5"/>
    </row>
    <row r="39" spans="1:30" s="4" customFormat="1" x14ac:dyDescent="0.2">
      <c r="A39" s="6"/>
      <c r="B39" s="6"/>
      <c r="C39" s="6"/>
      <c r="D39" s="7"/>
      <c r="E39" s="7"/>
      <c r="F39" s="7"/>
      <c r="G39" s="1"/>
      <c r="H39" s="1"/>
      <c r="I39" s="1"/>
      <c r="J39" s="1"/>
      <c r="K39" s="1"/>
      <c r="L39" s="1"/>
      <c r="M39" s="1"/>
      <c r="N39" s="7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7"/>
      <c r="AC39" s="7"/>
      <c r="AD39" s="5"/>
    </row>
    <row r="40" spans="1:30" s="4" customFormat="1" x14ac:dyDescent="0.2">
      <c r="A40" s="6"/>
      <c r="B40" s="6"/>
      <c r="C40" s="6"/>
      <c r="D40" s="7"/>
      <c r="E40" s="7"/>
      <c r="F40" s="7"/>
      <c r="G40" s="1"/>
      <c r="H40" s="1"/>
      <c r="I40" s="1"/>
      <c r="J40" s="1"/>
      <c r="K40" s="1"/>
      <c r="L40" s="1"/>
      <c r="M40" s="1"/>
      <c r="N40" s="7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7"/>
      <c r="AC40" s="7"/>
      <c r="AD40" s="5"/>
    </row>
    <row r="41" spans="1:30" s="4" customFormat="1" x14ac:dyDescent="0.2">
      <c r="A41" s="6"/>
      <c r="B41" s="6"/>
      <c r="C41" s="6"/>
      <c r="D41" s="7"/>
      <c r="E41" s="7"/>
      <c r="F41" s="7"/>
      <c r="G41" s="1"/>
      <c r="H41" s="1"/>
      <c r="I41" s="1"/>
      <c r="J41" s="1"/>
      <c r="K41" s="1"/>
      <c r="L41" s="1"/>
      <c r="M41" s="1"/>
      <c r="N41" s="7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7"/>
      <c r="AC41" s="7"/>
      <c r="AD41" s="5"/>
    </row>
    <row r="42" spans="1:30" s="4" customFormat="1" x14ac:dyDescent="0.2">
      <c r="A42" s="6"/>
      <c r="B42" s="6"/>
      <c r="C42" s="6"/>
      <c r="D42" s="7"/>
      <c r="E42" s="7"/>
      <c r="F42" s="7"/>
      <c r="G42" s="1"/>
      <c r="H42" s="1"/>
      <c r="I42" s="1"/>
      <c r="J42" s="1"/>
      <c r="K42" s="1"/>
      <c r="L42" s="1"/>
      <c r="M42" s="1"/>
      <c r="N42" s="7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7"/>
      <c r="AC42" s="7"/>
      <c r="AD42" s="5"/>
    </row>
    <row r="43" spans="1:30" s="4" customFormat="1" x14ac:dyDescent="0.2">
      <c r="A43" s="6"/>
      <c r="B43" s="6"/>
      <c r="C43" s="6"/>
      <c r="D43" s="7"/>
      <c r="E43" s="7"/>
      <c r="F43" s="7"/>
      <c r="G43" s="1"/>
      <c r="H43" s="1"/>
      <c r="I43" s="1"/>
      <c r="J43" s="1"/>
      <c r="K43" s="1"/>
      <c r="L43" s="1"/>
      <c r="M43" s="1"/>
      <c r="N43" s="7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7"/>
      <c r="AC43" s="7"/>
      <c r="AD43" s="5"/>
    </row>
    <row r="44" spans="1:30" s="4" customFormat="1" x14ac:dyDescent="0.2">
      <c r="A44" s="6"/>
      <c r="B44" s="6"/>
      <c r="C44" s="6"/>
      <c r="D44" s="7"/>
      <c r="E44" s="7"/>
      <c r="F44" s="7"/>
      <c r="G44" s="1"/>
      <c r="H44" s="1"/>
      <c r="I44" s="1"/>
      <c r="J44" s="1"/>
      <c r="K44" s="1"/>
      <c r="L44" s="1"/>
      <c r="M44" s="1"/>
      <c r="N44" s="7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7"/>
      <c r="AC44" s="7"/>
      <c r="AD44" s="5"/>
    </row>
    <row r="45" spans="1:30" s="4" customFormat="1" x14ac:dyDescent="0.2">
      <c r="A45" s="6"/>
      <c r="B45" s="6"/>
      <c r="C45" s="6"/>
      <c r="D45" s="7"/>
      <c r="E45" s="7"/>
      <c r="F45" s="7"/>
      <c r="G45" s="1"/>
      <c r="H45" s="1"/>
      <c r="I45" s="1"/>
      <c r="J45" s="1"/>
      <c r="K45" s="1"/>
      <c r="L45" s="1"/>
      <c r="M45" s="1"/>
      <c r="N45" s="7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7"/>
      <c r="AC45" s="7"/>
      <c r="AD45" s="5"/>
    </row>
    <row r="46" spans="1:30" s="4" customFormat="1" x14ac:dyDescent="0.2">
      <c r="A46" s="6"/>
      <c r="B46" s="6"/>
      <c r="C46" s="6"/>
      <c r="D46" s="7"/>
      <c r="E46" s="7"/>
      <c r="F46" s="7"/>
      <c r="G46" s="1"/>
      <c r="H46" s="1"/>
      <c r="I46" s="1"/>
      <c r="J46" s="1"/>
      <c r="K46" s="1"/>
      <c r="L46" s="1"/>
      <c r="M46" s="1"/>
      <c r="N46" s="7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7"/>
      <c r="AC46" s="7"/>
      <c r="AD46" s="5"/>
    </row>
    <row r="47" spans="1:30" s="4" customFormat="1" x14ac:dyDescent="0.2">
      <c r="A47" s="6"/>
      <c r="B47" s="6"/>
      <c r="C47" s="6"/>
      <c r="D47" s="7"/>
      <c r="E47" s="7"/>
      <c r="F47" s="7"/>
      <c r="G47" s="1"/>
      <c r="H47" s="1"/>
      <c r="I47" s="1"/>
      <c r="J47" s="1"/>
      <c r="K47" s="1"/>
      <c r="L47" s="1"/>
      <c r="M47" s="1"/>
      <c r="N47" s="7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7"/>
      <c r="AC47" s="7"/>
      <c r="AD47" s="5"/>
    </row>
    <row r="48" spans="1:30" s="4" customFormat="1" x14ac:dyDescent="0.2">
      <c r="A48" s="6"/>
      <c r="B48" s="6"/>
      <c r="C48" s="6"/>
      <c r="D48" s="7"/>
      <c r="E48" s="7"/>
      <c r="F48" s="7"/>
      <c r="G48" s="1"/>
      <c r="H48" s="1"/>
      <c r="I48" s="1"/>
      <c r="J48" s="1"/>
      <c r="K48" s="1"/>
      <c r="L48" s="1"/>
      <c r="M48" s="1"/>
      <c r="N48" s="7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7"/>
      <c r="AC48" s="7"/>
      <c r="AD48" s="5"/>
    </row>
    <row r="49" spans="1:30" s="4" customFormat="1" x14ac:dyDescent="0.2">
      <c r="A49" s="6"/>
      <c r="B49" s="6"/>
      <c r="C49" s="6"/>
      <c r="D49" s="7"/>
      <c r="E49" s="7"/>
      <c r="F49" s="7"/>
      <c r="G49" s="1"/>
      <c r="H49" s="1"/>
      <c r="I49" s="1"/>
      <c r="J49" s="1"/>
      <c r="K49" s="1"/>
      <c r="L49" s="1"/>
      <c r="M49" s="1"/>
      <c r="N49" s="7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7"/>
      <c r="AC49" s="7"/>
      <c r="AD49" s="5"/>
    </row>
    <row r="50" spans="1:30" s="4" customFormat="1" x14ac:dyDescent="0.2">
      <c r="A50" s="6"/>
      <c r="B50" s="6"/>
      <c r="C50" s="6"/>
      <c r="D50" s="7"/>
      <c r="E50" s="7"/>
      <c r="F50" s="7"/>
      <c r="G50" s="1"/>
      <c r="H50" s="1"/>
      <c r="I50" s="1"/>
      <c r="J50" s="1"/>
      <c r="K50" s="1"/>
      <c r="L50" s="1"/>
      <c r="M50" s="1"/>
      <c r="N50" s="7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7"/>
      <c r="AC50" s="7"/>
      <c r="AD50" s="5"/>
    </row>
    <row r="51" spans="1:30" s="4" customFormat="1" x14ac:dyDescent="0.2">
      <c r="A51" s="6"/>
      <c r="B51" s="6"/>
      <c r="C51" s="6"/>
      <c r="D51" s="7"/>
      <c r="E51" s="7"/>
      <c r="F51" s="7"/>
      <c r="G51" s="1"/>
      <c r="H51" s="1"/>
      <c r="I51" s="1"/>
      <c r="J51" s="1"/>
      <c r="K51" s="1"/>
      <c r="L51" s="1"/>
      <c r="M51" s="1"/>
      <c r="N51" s="7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7"/>
      <c r="AC51" s="7"/>
      <c r="AD51" s="5"/>
    </row>
    <row r="52" spans="1:30" s="4" customFormat="1" x14ac:dyDescent="0.2">
      <c r="A52" s="6"/>
      <c r="B52" s="6"/>
      <c r="C52" s="6"/>
      <c r="D52" s="7"/>
      <c r="E52" s="7"/>
      <c r="F52" s="7"/>
      <c r="G52" s="1"/>
      <c r="H52" s="1"/>
      <c r="I52" s="1"/>
      <c r="J52" s="1"/>
      <c r="K52" s="1"/>
      <c r="L52" s="1"/>
      <c r="M52" s="1"/>
      <c r="N52" s="7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7"/>
      <c r="AC52" s="7"/>
      <c r="AD52" s="5"/>
    </row>
    <row r="53" spans="1:30" s="4" customFormat="1" x14ac:dyDescent="0.2">
      <c r="A53" s="6"/>
      <c r="B53" s="6"/>
      <c r="C53" s="6"/>
      <c r="D53" s="7"/>
      <c r="E53" s="7"/>
      <c r="F53" s="7"/>
      <c r="G53" s="1"/>
      <c r="H53" s="1"/>
      <c r="I53" s="1"/>
      <c r="J53" s="1"/>
      <c r="K53" s="1"/>
      <c r="L53" s="1"/>
      <c r="M53" s="1"/>
      <c r="N53" s="7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7"/>
      <c r="AC53" s="7"/>
      <c r="AD53" s="5"/>
    </row>
    <row r="54" spans="1:30" s="4" customFormat="1" x14ac:dyDescent="0.2">
      <c r="A54" s="6"/>
      <c r="B54" s="6"/>
      <c r="C54" s="6"/>
      <c r="D54" s="7"/>
      <c r="E54" s="7"/>
      <c r="F54" s="7"/>
      <c r="G54" s="1"/>
      <c r="H54" s="1"/>
      <c r="I54" s="1"/>
      <c r="J54" s="1"/>
      <c r="K54" s="1"/>
      <c r="L54" s="1"/>
      <c r="M54" s="1"/>
      <c r="N54" s="7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7"/>
      <c r="AC54" s="7"/>
      <c r="AD54" s="5"/>
    </row>
    <row r="55" spans="1:30" s="4" customFormat="1" x14ac:dyDescent="0.2">
      <c r="A55" s="6"/>
      <c r="B55" s="6"/>
      <c r="C55" s="6"/>
      <c r="D55" s="7"/>
      <c r="E55" s="7"/>
      <c r="F55" s="7"/>
      <c r="G55" s="1"/>
      <c r="H55" s="1"/>
      <c r="I55" s="1"/>
      <c r="J55" s="1"/>
      <c r="K55" s="1"/>
      <c r="L55" s="1"/>
      <c r="M55" s="1"/>
      <c r="N55" s="7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7"/>
      <c r="AC55" s="7"/>
      <c r="AD55" s="5"/>
    </row>
    <row r="56" spans="1:30" s="4" customFormat="1" x14ac:dyDescent="0.2">
      <c r="A56" s="6"/>
      <c r="B56" s="6"/>
      <c r="C56" s="6"/>
      <c r="D56" s="7"/>
      <c r="E56" s="7"/>
      <c r="F56" s="7"/>
      <c r="G56" s="1"/>
      <c r="H56" s="1"/>
      <c r="I56" s="1"/>
      <c r="J56" s="1"/>
      <c r="K56" s="1"/>
      <c r="L56" s="1"/>
      <c r="M56" s="1"/>
      <c r="N56" s="7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7"/>
      <c r="AC56" s="7"/>
      <c r="AD56" s="5"/>
    </row>
    <row r="57" spans="1:30" s="4" customFormat="1" x14ac:dyDescent="0.2">
      <c r="A57" s="6"/>
      <c r="B57" s="6"/>
      <c r="C57" s="6"/>
      <c r="D57" s="7"/>
      <c r="E57" s="7"/>
      <c r="F57" s="7"/>
      <c r="G57" s="1"/>
      <c r="H57" s="1"/>
      <c r="I57" s="1"/>
      <c r="J57" s="1"/>
      <c r="K57" s="1"/>
      <c r="L57" s="1"/>
      <c r="M57" s="1"/>
      <c r="N57" s="7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7"/>
      <c r="AC57" s="7"/>
      <c r="AD57" s="5"/>
    </row>
    <row r="58" spans="1:30" s="4" customFormat="1" x14ac:dyDescent="0.2">
      <c r="A58" s="6"/>
      <c r="B58" s="6"/>
      <c r="C58" s="6"/>
      <c r="D58" s="7"/>
      <c r="E58" s="7"/>
      <c r="F58" s="7"/>
      <c r="G58" s="1"/>
      <c r="H58" s="1"/>
      <c r="I58" s="1"/>
      <c r="J58" s="1"/>
      <c r="K58" s="1"/>
      <c r="L58" s="1"/>
      <c r="M58" s="1"/>
      <c r="N58" s="7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7"/>
      <c r="AC58" s="7"/>
      <c r="AD58" s="5"/>
    </row>
    <row r="59" spans="1:30" s="4" customFormat="1" x14ac:dyDescent="0.2">
      <c r="A59" s="6"/>
      <c r="B59" s="6"/>
      <c r="C59" s="6"/>
      <c r="D59" s="7"/>
      <c r="E59" s="7"/>
      <c r="F59" s="7"/>
      <c r="G59" s="1"/>
      <c r="H59" s="1"/>
      <c r="I59" s="1"/>
      <c r="J59" s="1"/>
      <c r="K59" s="1"/>
      <c r="L59" s="1"/>
      <c r="M59" s="1"/>
      <c r="N59" s="7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7"/>
      <c r="AC59" s="7"/>
      <c r="AD59" s="5"/>
    </row>
    <row r="60" spans="1:30" s="4" customFormat="1" x14ac:dyDescent="0.2">
      <c r="A60" s="6"/>
      <c r="B60" s="6"/>
      <c r="C60" s="6"/>
      <c r="D60" s="7"/>
      <c r="E60" s="7"/>
      <c r="F60" s="7"/>
      <c r="G60" s="1"/>
      <c r="H60" s="1"/>
      <c r="I60" s="1"/>
      <c r="J60" s="1"/>
      <c r="K60" s="1"/>
      <c r="L60" s="1"/>
      <c r="M60" s="1"/>
      <c r="N60" s="7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7"/>
      <c r="AC60" s="7"/>
      <c r="AD60" s="5"/>
    </row>
    <row r="61" spans="1:30" s="4" customFormat="1" x14ac:dyDescent="0.2">
      <c r="A61" s="6"/>
      <c r="B61" s="6"/>
      <c r="C61" s="6"/>
      <c r="D61" s="7"/>
      <c r="E61" s="7"/>
      <c r="F61" s="7"/>
      <c r="G61" s="1"/>
      <c r="H61" s="1"/>
      <c r="I61" s="1"/>
      <c r="J61" s="1"/>
      <c r="K61" s="1"/>
      <c r="L61" s="1"/>
      <c r="M61" s="1"/>
      <c r="N61" s="7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7"/>
      <c r="AC61" s="7"/>
      <c r="AD61" s="5"/>
    </row>
    <row r="62" spans="1:30" s="4" customFormat="1" x14ac:dyDescent="0.2">
      <c r="A62" s="6"/>
      <c r="B62" s="6"/>
      <c r="C62" s="6"/>
      <c r="D62" s="7"/>
      <c r="E62" s="7"/>
      <c r="F62" s="7"/>
      <c r="G62" s="1"/>
      <c r="H62" s="1"/>
      <c r="I62" s="1"/>
      <c r="J62" s="1"/>
      <c r="K62" s="1"/>
      <c r="L62" s="1"/>
      <c r="M62" s="1"/>
      <c r="N62" s="7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7"/>
      <c r="AC62" s="7"/>
      <c r="AD62" s="5"/>
    </row>
    <row r="63" spans="1:30" s="4" customFormat="1" x14ac:dyDescent="0.2">
      <c r="A63" s="6"/>
      <c r="B63" s="6"/>
      <c r="C63" s="6"/>
      <c r="D63" s="7"/>
      <c r="E63" s="7"/>
      <c r="F63" s="7"/>
      <c r="G63" s="1"/>
      <c r="H63" s="1"/>
      <c r="I63" s="1"/>
      <c r="J63" s="1"/>
      <c r="K63" s="1"/>
      <c r="L63" s="1"/>
      <c r="M63" s="1"/>
      <c r="N63" s="7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7"/>
      <c r="AC63" s="7"/>
      <c r="AD63" s="5"/>
    </row>
    <row r="64" spans="1:30" s="4" customFormat="1" x14ac:dyDescent="0.2">
      <c r="A64" s="6"/>
      <c r="B64" s="6"/>
      <c r="C64" s="6"/>
      <c r="D64" s="7"/>
      <c r="E64" s="7"/>
      <c r="F64" s="7"/>
      <c r="G64" s="1"/>
      <c r="H64" s="1"/>
      <c r="I64" s="1"/>
      <c r="J64" s="1"/>
      <c r="K64" s="1"/>
      <c r="L64" s="1"/>
      <c r="M64" s="1"/>
      <c r="N64" s="7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7"/>
      <c r="AC64" s="7"/>
      <c r="AD64" s="5"/>
    </row>
    <row r="65" spans="1:30" s="4" customFormat="1" x14ac:dyDescent="0.2">
      <c r="A65" s="6"/>
      <c r="B65" s="6"/>
      <c r="C65" s="6"/>
      <c r="D65" s="7"/>
      <c r="E65" s="7"/>
      <c r="F65" s="7"/>
      <c r="G65" s="1"/>
      <c r="H65" s="1"/>
      <c r="I65" s="1"/>
      <c r="J65" s="1"/>
      <c r="K65" s="1"/>
      <c r="L65" s="1"/>
      <c r="M65" s="1"/>
      <c r="N65" s="7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7"/>
      <c r="AC65" s="7"/>
      <c r="AD65" s="5"/>
    </row>
    <row r="66" spans="1:30" s="4" customFormat="1" x14ac:dyDescent="0.2">
      <c r="A66" s="6"/>
      <c r="B66" s="6"/>
      <c r="C66" s="6"/>
      <c r="D66" s="7"/>
      <c r="E66" s="7"/>
      <c r="F66" s="7"/>
      <c r="G66" s="1"/>
      <c r="H66" s="1"/>
      <c r="I66" s="1"/>
      <c r="J66" s="1"/>
      <c r="K66" s="1"/>
      <c r="L66" s="1"/>
      <c r="M66" s="1"/>
      <c r="N66" s="7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7"/>
      <c r="AC66" s="7"/>
      <c r="AD66" s="5"/>
    </row>
    <row r="67" spans="1:30" s="4" customFormat="1" x14ac:dyDescent="0.2">
      <c r="A67" s="6"/>
      <c r="B67" s="6"/>
      <c r="C67" s="6"/>
      <c r="D67" s="7"/>
      <c r="E67" s="7"/>
      <c r="F67" s="7"/>
      <c r="G67" s="1"/>
      <c r="H67" s="1"/>
      <c r="I67" s="1"/>
      <c r="J67" s="1"/>
      <c r="K67" s="1"/>
      <c r="L67" s="1"/>
      <c r="M67" s="1"/>
      <c r="N67" s="7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7"/>
      <c r="AC67" s="7"/>
      <c r="AD67" s="5"/>
    </row>
    <row r="68" spans="1:30" s="4" customFormat="1" x14ac:dyDescent="0.2">
      <c r="A68" s="6"/>
      <c r="B68" s="6"/>
      <c r="C68" s="6"/>
      <c r="D68" s="7"/>
      <c r="E68" s="7"/>
      <c r="F68" s="7"/>
      <c r="G68" s="1"/>
      <c r="H68" s="1"/>
      <c r="I68" s="1"/>
      <c r="J68" s="1"/>
      <c r="K68" s="1"/>
      <c r="L68" s="1"/>
      <c r="M68" s="1"/>
      <c r="N68" s="7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7"/>
      <c r="AC68" s="7"/>
      <c r="AD68" s="5"/>
    </row>
    <row r="69" spans="1:30" s="4" customFormat="1" x14ac:dyDescent="0.2">
      <c r="A69" s="6"/>
      <c r="B69" s="6"/>
      <c r="C69" s="6"/>
      <c r="D69" s="7"/>
      <c r="E69" s="7"/>
      <c r="F69" s="7"/>
      <c r="G69" s="1"/>
      <c r="H69" s="1"/>
      <c r="I69" s="1"/>
      <c r="J69" s="1"/>
      <c r="K69" s="1"/>
      <c r="L69" s="1"/>
      <c r="M69" s="1"/>
      <c r="N69" s="7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7"/>
      <c r="AC69" s="7"/>
      <c r="AD69" s="5"/>
    </row>
    <row r="70" spans="1:30" s="4" customFormat="1" x14ac:dyDescent="0.2">
      <c r="A70" s="6"/>
      <c r="B70" s="6"/>
      <c r="C70" s="6"/>
      <c r="D70" s="7"/>
      <c r="E70" s="7"/>
      <c r="F70" s="7"/>
      <c r="G70" s="1"/>
      <c r="H70" s="1"/>
      <c r="I70" s="1"/>
      <c r="J70" s="1"/>
      <c r="K70" s="1"/>
      <c r="L70" s="1"/>
      <c r="M70" s="1"/>
      <c r="N70" s="7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7"/>
      <c r="AC70" s="7"/>
      <c r="AD70" s="5"/>
    </row>
    <row r="71" spans="1:30" s="4" customFormat="1" x14ac:dyDescent="0.2">
      <c r="A71" s="6"/>
      <c r="B71" s="6"/>
      <c r="C71" s="6"/>
      <c r="D71" s="7"/>
      <c r="E71" s="7"/>
      <c r="F71" s="7"/>
      <c r="G71" s="1"/>
      <c r="H71" s="1"/>
      <c r="I71" s="1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5"/>
    </row>
    <row r="72" spans="1:30" s="4" customFormat="1" x14ac:dyDescent="0.2">
      <c r="A72" s="6"/>
      <c r="B72" s="6"/>
      <c r="C72" s="6"/>
      <c r="D72" s="7"/>
      <c r="E72" s="7"/>
      <c r="F72" s="7"/>
      <c r="G72" s="1"/>
      <c r="H72" s="1"/>
      <c r="I72" s="1"/>
      <c r="J72" s="7"/>
      <c r="K72" s="7"/>
      <c r="L72" s="7"/>
      <c r="M72" s="7"/>
      <c r="N72" s="7"/>
      <c r="O72" s="1"/>
      <c r="P72" s="1"/>
      <c r="Q72" s="1"/>
      <c r="R72" s="1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</row>
    <row r="73" spans="1:30" s="4" customFormat="1" x14ac:dyDescent="0.2">
      <c r="A73" s="6"/>
      <c r="B73" s="6"/>
      <c r="C73" s="6"/>
      <c r="D73" s="7"/>
      <c r="E73" s="7"/>
      <c r="F73" s="7"/>
      <c r="G73" s="1"/>
      <c r="H73" s="1"/>
      <c r="I73" s="1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</row>
    <row r="74" spans="1:30" s="4" customFormat="1" x14ac:dyDescent="0.2">
      <c r="A74" s="6"/>
      <c r="B74" s="6"/>
      <c r="C74" s="6"/>
      <c r="D74" s="7"/>
      <c r="E74" s="7"/>
      <c r="F74" s="7"/>
      <c r="G74" s="1"/>
      <c r="H74" s="1"/>
      <c r="I74" s="1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</row>
    <row r="75" spans="1:30" s="4" customFormat="1" x14ac:dyDescent="0.2">
      <c r="A75" s="1"/>
      <c r="B75" s="1"/>
      <c r="C75" s="1"/>
    </row>
    <row r="76" spans="1:30" s="4" customFormat="1" x14ac:dyDescent="0.2">
      <c r="A76" s="1"/>
      <c r="B76" s="1"/>
      <c r="C76" s="1"/>
    </row>
    <row r="77" spans="1:30" s="4" customFormat="1" x14ac:dyDescent="0.2">
      <c r="A77" s="1"/>
      <c r="B77" s="1"/>
      <c r="C77" s="1"/>
    </row>
    <row r="78" spans="1:30" s="4" customFormat="1" x14ac:dyDescent="0.2">
      <c r="A78" s="1"/>
      <c r="B78" s="1"/>
      <c r="C78" s="1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</row>
    <row r="79" spans="1:30" s="4" customFormat="1" x14ac:dyDescent="0.2">
      <c r="A79" s="1"/>
      <c r="B79" s="1"/>
      <c r="C79" s="1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</row>
    <row r="80" spans="1:30" s="4" customFormat="1" x14ac:dyDescent="0.2">
      <c r="A80" s="1"/>
      <c r="B80" s="1"/>
      <c r="C80" s="1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</row>
    <row r="81" spans="1:29" s="4" customFormat="1" x14ac:dyDescent="0.2">
      <c r="A81" s="1"/>
      <c r="B81" s="1"/>
      <c r="C81" s="1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</row>
    <row r="82" spans="1:29" s="4" customFormat="1" x14ac:dyDescent="0.2">
      <c r="A82" s="1"/>
      <c r="B82" s="1"/>
      <c r="C82" s="1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</row>
    <row r="83" spans="1:29" s="4" customFormat="1" x14ac:dyDescent="0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3"/>
      <c r="AC83" s="3"/>
    </row>
    <row r="84" spans="1:29" x14ac:dyDescent="0.2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</row>
    <row r="85" spans="1:29" x14ac:dyDescent="0.2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</row>
    <row r="86" spans="1:29" x14ac:dyDescent="0.2"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</row>
    <row r="87" spans="1:29" x14ac:dyDescent="0.2"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</row>
    <row r="88" spans="1:29" x14ac:dyDescent="0.2"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</row>
    <row r="89" spans="1:29" x14ac:dyDescent="0.2"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</row>
    <row r="90" spans="1:29" x14ac:dyDescent="0.2"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</row>
    <row r="91" spans="1:29" x14ac:dyDescent="0.2"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</row>
    <row r="92" spans="1:29" x14ac:dyDescent="0.2"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</row>
    <row r="93" spans="1:29" x14ac:dyDescent="0.2"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</row>
    <row r="94" spans="1:29" x14ac:dyDescent="0.2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</row>
    <row r="95" spans="1:29" x14ac:dyDescent="0.2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</row>
    <row r="96" spans="1:29" x14ac:dyDescent="0.2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</row>
    <row r="97" spans="1:29" x14ac:dyDescent="0.2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</row>
    <row r="98" spans="1:29" x14ac:dyDescent="0.2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</row>
    <row r="99" spans="1:29" x14ac:dyDescent="0.2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</row>
    <row r="100" spans="1:29" x14ac:dyDescent="0.2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</row>
    <row r="101" spans="1:29" x14ac:dyDescent="0.2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</row>
    <row r="102" spans="1:29" x14ac:dyDescent="0.2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</row>
    <row r="103" spans="1:29" x14ac:dyDescent="0.2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</row>
    <row r="104" spans="1:29" x14ac:dyDescent="0.2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</row>
    <row r="105" spans="1:29" x14ac:dyDescent="0.2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</row>
    <row r="106" spans="1:29" x14ac:dyDescent="0.2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</row>
    <row r="107" spans="1:29" x14ac:dyDescent="0.2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</row>
    <row r="108" spans="1:29" x14ac:dyDescent="0.2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</row>
    <row r="109" spans="1:29" x14ac:dyDescent="0.2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</row>
    <row r="110" spans="1:29" x14ac:dyDescent="0.2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</row>
    <row r="111" spans="1:29" x14ac:dyDescent="0.2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</row>
    <row r="112" spans="1:29" x14ac:dyDescent="0.2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</row>
    <row r="113" spans="1:29" x14ac:dyDescent="0.2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95DD7-2614-4C0A-B337-80930FDFB4E6}">
  <sheetPr codeName="Sheet1"/>
  <dimension ref="A1"/>
  <sheetViews>
    <sheetView workbookViewId="0">
      <selection activeCell="H20" sqref="H20"/>
    </sheetView>
  </sheetViews>
  <sheetFormatPr defaultColWidth="9.140625" defaultRowHeight="20.25" x14ac:dyDescent="0.3"/>
  <cols>
    <col min="1" max="16384" width="9.140625" style="1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0CB5C7BD841A746A008EF8990FEF8A1" ma:contentTypeVersion="18" ma:contentTypeDescription="Create a new document." ma:contentTypeScope="" ma:versionID="aacfd60317cb15706c845a092fb4d66d">
  <xsd:schema xmlns:xsd="http://www.w3.org/2001/XMLSchema" xmlns:xs="http://www.w3.org/2001/XMLSchema" xmlns:p="http://schemas.microsoft.com/office/2006/metadata/properties" xmlns:ns2="d795cf93-200f-4322-ae4e-3af3c2bc7b07" xmlns:ns3="bec3e06c-9dd4-4aa2-90c9-9a788c41bf59" targetNamespace="http://schemas.microsoft.com/office/2006/metadata/properties" ma:root="true" ma:fieldsID="e3aef50b99969e2b4df5830abe3d3a79" ns2:_="" ns3:_="">
    <xsd:import namespace="d795cf93-200f-4322-ae4e-3af3c2bc7b07"/>
    <xsd:import namespace="bec3e06c-9dd4-4aa2-90c9-9a788c41bf5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OCR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95cf93-200f-4322-ae4e-3af3c2bc7b0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8b28469-8996-4088-bd89-44d87d6385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c3e06c-9dd4-4aa2-90c9-9a788c41bf5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a7d83965-6a73-48be-8631-6ae39e8a7cfd}" ma:internalName="TaxCatchAll" ma:showField="CatchAllData" ma:web="bec3e06c-9dd4-4aa2-90c9-9a788c41bf5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bec3e06c-9dd4-4aa2-90c9-9a788c41bf59">
      <UserInfo>
        <DisplayName/>
        <AccountId xsi:nil="true"/>
        <AccountType/>
      </UserInfo>
    </SharedWithUsers>
    <lcf76f155ced4ddcb4097134ff3c332f xmlns="d795cf93-200f-4322-ae4e-3af3c2bc7b07">
      <Terms xmlns="http://schemas.microsoft.com/office/infopath/2007/PartnerControls"/>
    </lcf76f155ced4ddcb4097134ff3c332f>
    <TaxCatchAll xmlns="bec3e06c-9dd4-4aa2-90c9-9a788c41bf59" xsi:nil="true"/>
  </documentManagement>
</p:properties>
</file>

<file path=customXml/itemProps1.xml><?xml version="1.0" encoding="utf-8"?>
<ds:datastoreItem xmlns:ds="http://schemas.openxmlformats.org/officeDocument/2006/customXml" ds:itemID="{D21D801F-433A-467B-A978-C242E62FA7C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95cf93-200f-4322-ae4e-3af3c2bc7b07"/>
    <ds:schemaRef ds:uri="bec3e06c-9dd4-4aa2-90c9-9a788c41bf5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18661A8-B5A8-4E85-BA45-874C5224FF2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01D391B-5D9D-4443-8FB5-81E6F608E2DF}">
  <ds:schemaRefs>
    <ds:schemaRef ds:uri="http://schemas.microsoft.com/office/2006/metadata/properties"/>
    <ds:schemaRef ds:uri="http://schemas.microsoft.com/office/infopath/2007/PartnerControls"/>
    <ds:schemaRef ds:uri="bec3e06c-9dd4-4aa2-90c9-9a788c41bf59"/>
    <ds:schemaRef ds:uri="d795cf93-200f-4322-ae4e-3af3c2bc7b0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DMconvert</vt:lpstr>
      <vt:lpstr>Results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Robbins, Michael Lawrence</dc:creator>
  <cp:lastModifiedBy>Robbins, Michael Lawrence</cp:lastModifiedBy>
  <dcterms:created xsi:type="dcterms:W3CDTF">2025-04-02T00:43:41Z</dcterms:created>
  <dcterms:modified xsi:type="dcterms:W3CDTF">2026-02-02T19:39:30Z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0x01010050CB5C7BD841A746A008EF8990FEF8A1</vt:lpwstr>
  </property>
  <property fmtid="{D5CDD505-2E9C-101B-9397-08002B2CF9AE}" pid="3" name="ComplianceAssetId">
    <vt:lpwstr/>
  </property>
  <property fmtid="{D5CDD505-2E9C-101B-9397-08002B2CF9AE}" pid="4" name="_ExtendedDescription">
    <vt:lpwstr/>
  </property>
  <property fmtid="{D5CDD505-2E9C-101B-9397-08002B2CF9AE}" pid="5" name="TriggerFlowInfo">
    <vt:lpwstr/>
  </property>
  <property fmtid="{D5CDD505-2E9C-101B-9397-08002B2CF9AE}" pid="6" name="MediaServiceImageTags">
    <vt:lpwstr/>
  </property>
</Properties>
</file>